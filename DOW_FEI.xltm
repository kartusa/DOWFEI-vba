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kumenty\Szablony\"/>
    </mc:Choice>
  </mc:AlternateContent>
  <bookViews>
    <workbookView xWindow="0" yWindow="120" windowWidth="19185" windowHeight="11640"/>
  </bookViews>
  <sheets>
    <sheet name="METRYKA" sheetId="4" r:id="rId1"/>
    <sheet name="DOW_FEI" sheetId="3" r:id="rId2"/>
    <sheet name="Arkusz1" sheetId="5" r:id="rId3"/>
  </sheets>
  <definedNames>
    <definedName name="_Hlt37741469" localSheetId="2">Arkusz1!$A$4</definedName>
    <definedName name="_Hlt37747011" localSheetId="2">Arkusz1!$A$31</definedName>
    <definedName name="_Hlt37748117" localSheetId="2">Arkusz1!$A$33</definedName>
    <definedName name="_xlnm.Print_Area" localSheetId="2">Arkusz1!$A$1:$C$41</definedName>
    <definedName name="_xlnm.Print_Area" localSheetId="1">DOW_FEI!$A$1:$H$50</definedName>
  </definedNames>
  <calcPr calcId="152511"/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13" i="4"/>
  <c r="I7" i="4"/>
  <c r="C9" i="5"/>
  <c r="C22" i="4"/>
  <c r="H3" i="3" l="1"/>
  <c r="D116" i="3" l="1"/>
  <c r="E116" i="3"/>
  <c r="F116" i="3"/>
  <c r="G116" i="3"/>
  <c r="H116" i="3"/>
  <c r="I116" i="3"/>
  <c r="J116" i="3"/>
  <c r="C116" i="3"/>
  <c r="D122" i="3"/>
  <c r="E122" i="3"/>
  <c r="F122" i="3"/>
  <c r="G122" i="3"/>
  <c r="H122" i="3"/>
  <c r="I122" i="3"/>
  <c r="J122" i="3"/>
  <c r="C122" i="3"/>
  <c r="D121" i="3"/>
  <c r="E121" i="3"/>
  <c r="F121" i="3"/>
  <c r="G121" i="3"/>
  <c r="H121" i="3"/>
  <c r="I121" i="3"/>
  <c r="J121" i="3"/>
  <c r="C121" i="3"/>
  <c r="D120" i="3"/>
  <c r="E120" i="3"/>
  <c r="F120" i="3"/>
  <c r="G120" i="3"/>
  <c r="H120" i="3"/>
  <c r="I120" i="3"/>
  <c r="J120" i="3"/>
  <c r="C120" i="3"/>
  <c r="D119" i="3"/>
  <c r="E119" i="3"/>
  <c r="F119" i="3"/>
  <c r="G119" i="3"/>
  <c r="H119" i="3"/>
  <c r="I119" i="3"/>
  <c r="J119" i="3"/>
  <c r="C119" i="3"/>
  <c r="D118" i="3"/>
  <c r="E118" i="3"/>
  <c r="F118" i="3"/>
  <c r="G118" i="3"/>
  <c r="H118" i="3"/>
  <c r="I118" i="3"/>
  <c r="J118" i="3"/>
  <c r="C118" i="3"/>
  <c r="D117" i="3"/>
  <c r="E117" i="3"/>
  <c r="F117" i="3"/>
  <c r="G117" i="3"/>
  <c r="H117" i="3"/>
  <c r="I117" i="3"/>
  <c r="J117" i="3"/>
  <c r="C117" i="3"/>
  <c r="D115" i="3"/>
  <c r="E115" i="3"/>
  <c r="F115" i="3"/>
  <c r="G115" i="3"/>
  <c r="H115" i="3"/>
  <c r="I115" i="3"/>
  <c r="J115" i="3"/>
  <c r="C115" i="3"/>
  <c r="D114" i="3"/>
  <c r="E114" i="3"/>
  <c r="F114" i="3"/>
  <c r="G114" i="3"/>
  <c r="H114" i="3"/>
  <c r="I114" i="3"/>
  <c r="J114" i="3"/>
  <c r="C114" i="3"/>
  <c r="C36" i="5"/>
  <c r="C35" i="5"/>
  <c r="C34" i="5"/>
  <c r="C33" i="5"/>
  <c r="D32" i="5"/>
  <c r="T50" i="5"/>
  <c r="T51" i="5"/>
  <c r="C32" i="5" s="1"/>
  <c r="C31" i="5"/>
  <c r="C30" i="5"/>
  <c r="C29" i="5"/>
  <c r="C28" i="5"/>
  <c r="C22" i="5"/>
  <c r="C21" i="5"/>
  <c r="C20" i="5"/>
  <c r="C19" i="5"/>
  <c r="C13" i="5"/>
  <c r="C12" i="5"/>
  <c r="R16" i="5"/>
  <c r="R15" i="5"/>
  <c r="R14" i="5"/>
  <c r="R13" i="5"/>
  <c r="R12" i="5"/>
  <c r="R11" i="5"/>
  <c r="R10" i="5"/>
  <c r="R6" i="5"/>
  <c r="R7" i="5"/>
  <c r="R8" i="5"/>
  <c r="R9" i="5"/>
  <c r="R5" i="5"/>
  <c r="R17" i="5" s="1"/>
  <c r="C11" i="5" s="1"/>
  <c r="C10" i="5"/>
  <c r="C8" i="5"/>
  <c r="C7" i="5"/>
  <c r="C6" i="5"/>
  <c r="C5" i="5"/>
  <c r="D6" i="3"/>
  <c r="E3" i="3"/>
  <c r="B3" i="3"/>
  <c r="H2" i="3"/>
  <c r="E2" i="3"/>
  <c r="F1" i="3"/>
  <c r="D1" i="3"/>
  <c r="B2" i="3"/>
  <c r="B1" i="3"/>
  <c r="G44" i="3"/>
  <c r="G43" i="3"/>
  <c r="D110" i="3"/>
  <c r="D109" i="3"/>
  <c r="G42" i="3"/>
  <c r="F105" i="3"/>
  <c r="G105" i="3" s="1"/>
  <c r="G104" i="3"/>
  <c r="F104" i="3"/>
  <c r="F103" i="3"/>
  <c r="G103" i="3" s="1"/>
  <c r="K2" i="3"/>
  <c r="G41" i="3"/>
  <c r="G40" i="3"/>
  <c r="G39" i="3"/>
  <c r="G34" i="3"/>
  <c r="D28" i="4"/>
  <c r="K55" i="3" s="1"/>
  <c r="N31" i="3"/>
  <c r="K57" i="3" s="1"/>
  <c r="G30" i="3"/>
  <c r="N25" i="3"/>
  <c r="G24" i="3"/>
  <c r="G17" i="3"/>
  <c r="G16" i="3"/>
  <c r="P15" i="3"/>
  <c r="I15" i="3"/>
  <c r="G14" i="3"/>
  <c r="G13" i="3"/>
  <c r="G12" i="3"/>
  <c r="F20" i="4"/>
  <c r="C35" i="3"/>
  <c r="H12" i="4"/>
  <c r="H9" i="4"/>
  <c r="H8" i="4"/>
  <c r="H7" i="4"/>
  <c r="D24" i="4"/>
  <c r="D17" i="3"/>
  <c r="C33" i="3"/>
  <c r="C32" i="3"/>
  <c r="D30" i="4"/>
  <c r="K56" i="3" s="1"/>
  <c r="G31" i="3" l="1"/>
  <c r="G29" i="3"/>
  <c r="G28" i="3"/>
  <c r="G27" i="3"/>
  <c r="K58" i="3"/>
  <c r="G23" i="3"/>
  <c r="C38" i="5"/>
  <c r="C24" i="5"/>
  <c r="C15" i="5"/>
  <c r="G15" i="3"/>
  <c r="H19" i="4"/>
  <c r="G19" i="4"/>
  <c r="D8" i="3"/>
  <c r="C40" i="5" l="1"/>
  <c r="AC3" i="3"/>
  <c r="AC4" i="3"/>
  <c r="AC5" i="3"/>
  <c r="AC6" i="3"/>
  <c r="AC7" i="3"/>
  <c r="AC8" i="3"/>
  <c r="AC13" i="3"/>
  <c r="AC9" i="3"/>
  <c r="AC10" i="3"/>
  <c r="AC11" i="3"/>
  <c r="AC12" i="3"/>
  <c r="AC14" i="3"/>
  <c r="AC15" i="3"/>
  <c r="AC16" i="3"/>
  <c r="AC17" i="3"/>
  <c r="AC18" i="3"/>
  <c r="AC22" i="3"/>
  <c r="AC19" i="3"/>
  <c r="AC20" i="3"/>
  <c r="AC21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6" i="3"/>
  <c r="AC51" i="3"/>
  <c r="AC52" i="3"/>
  <c r="AC57" i="3"/>
  <c r="AC53" i="3"/>
  <c r="AC54" i="3"/>
  <c r="AC45" i="3"/>
  <c r="AC55" i="3"/>
  <c r="AC47" i="3"/>
  <c r="AC56" i="3"/>
  <c r="H10" i="4" s="1"/>
  <c r="AC48" i="3"/>
  <c r="AC49" i="3"/>
  <c r="AC50" i="3"/>
  <c r="AC58" i="3"/>
  <c r="AC59" i="3"/>
  <c r="AC60" i="3"/>
  <c r="AC61" i="3"/>
  <c r="AC63" i="3"/>
  <c r="AC64" i="3"/>
  <c r="AC62" i="3"/>
  <c r="AC67" i="3"/>
  <c r="AC68" i="3"/>
  <c r="AC65" i="3"/>
  <c r="AC66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3" i="3"/>
  <c r="AC87" i="3"/>
  <c r="AC84" i="3"/>
  <c r="AC85" i="3"/>
  <c r="AC82" i="3"/>
  <c r="AC86" i="3"/>
  <c r="AC88" i="3"/>
  <c r="AC89" i="3"/>
  <c r="AC90" i="3"/>
  <c r="AC97" i="3"/>
  <c r="AC95" i="3"/>
  <c r="AC91" i="3"/>
  <c r="AC92" i="3"/>
  <c r="AC96" i="3"/>
  <c r="AC93" i="3"/>
  <c r="AC94" i="3"/>
  <c r="AC98" i="3"/>
  <c r="AC99" i="3"/>
  <c r="AC101" i="3"/>
  <c r="AC100" i="3"/>
  <c r="AC103" i="3"/>
  <c r="AC102" i="3"/>
  <c r="AC104" i="3"/>
  <c r="AC105" i="3"/>
  <c r="AC106" i="3"/>
  <c r="AC107" i="3"/>
  <c r="AC108" i="3"/>
  <c r="AC109" i="3"/>
  <c r="AC111" i="3"/>
  <c r="AC110" i="3"/>
  <c r="AC112" i="3"/>
  <c r="AC113" i="3"/>
  <c r="AC114" i="3"/>
  <c r="AC115" i="3"/>
  <c r="AC120" i="3"/>
  <c r="AC119" i="3"/>
  <c r="AC116" i="3"/>
  <c r="AC117" i="3"/>
  <c r="AC118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4" i="3"/>
  <c r="AC135" i="3"/>
  <c r="AC136" i="3"/>
  <c r="AC149" i="3"/>
  <c r="AC137" i="3"/>
  <c r="AC138" i="3"/>
  <c r="AC139" i="3"/>
  <c r="AC150" i="3"/>
  <c r="AC140" i="3"/>
  <c r="AC141" i="3"/>
  <c r="AC142" i="3"/>
  <c r="AC143" i="3"/>
  <c r="AC151" i="3"/>
  <c r="AC152" i="3"/>
  <c r="AC158" i="3"/>
  <c r="AC153" i="3"/>
  <c r="AC154" i="3"/>
  <c r="AC155" i="3"/>
  <c r="AC156" i="3"/>
  <c r="AC159" i="3"/>
  <c r="AC157" i="3"/>
  <c r="AC144" i="3"/>
  <c r="AC145" i="3"/>
  <c r="AC160" i="3"/>
  <c r="AC161" i="3"/>
  <c r="AC133" i="3"/>
  <c r="AC146" i="3"/>
  <c r="AC147" i="3"/>
  <c r="AC148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7" i="3"/>
  <c r="AC176" i="3"/>
  <c r="AC178" i="3"/>
  <c r="AC179" i="3"/>
  <c r="AC180" i="3"/>
  <c r="AC181" i="3"/>
  <c r="AC182" i="3"/>
  <c r="AC183" i="3"/>
  <c r="AC184" i="3"/>
  <c r="AC186" i="3"/>
  <c r="AC185" i="3"/>
  <c r="AC187" i="3"/>
  <c r="AC188" i="3"/>
  <c r="AC189" i="3"/>
  <c r="AC190" i="3"/>
  <c r="AC191" i="3"/>
  <c r="AC192" i="3"/>
  <c r="AC193" i="3"/>
  <c r="AC194" i="3"/>
  <c r="AC195" i="3"/>
  <c r="AC196" i="3"/>
  <c r="AC254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28" i="3"/>
  <c r="AC212" i="3"/>
  <c r="AC213" i="3"/>
  <c r="AC229" i="3"/>
  <c r="AC214" i="3"/>
  <c r="AC215" i="3"/>
  <c r="AC216" i="3"/>
  <c r="AC230" i="3"/>
  <c r="AC231" i="3"/>
  <c r="AC217" i="3"/>
  <c r="AC218" i="3"/>
  <c r="AC232" i="3"/>
  <c r="AC219" i="3"/>
  <c r="AC233" i="3"/>
  <c r="AC234" i="3"/>
  <c r="AC220" i="3"/>
  <c r="AC221" i="3"/>
  <c r="AC222" i="3"/>
  <c r="AC223" i="3"/>
  <c r="AC224" i="3"/>
  <c r="AC225" i="3"/>
  <c r="AC226" i="3"/>
  <c r="AC235" i="3"/>
  <c r="AC227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80" i="3"/>
  <c r="AC281" i="3"/>
  <c r="AC282" i="3"/>
  <c r="AC283" i="3"/>
  <c r="AC284" i="3"/>
  <c r="AC285" i="3"/>
  <c r="AC286" i="3"/>
  <c r="AC278" i="3"/>
  <c r="AC279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2" i="3"/>
  <c r="AC301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7" i="3"/>
  <c r="AC315" i="3"/>
  <c r="AC316" i="3"/>
  <c r="AC318" i="3"/>
  <c r="AC319" i="3"/>
  <c r="AC320" i="3"/>
  <c r="AC321" i="3"/>
  <c r="AC322" i="3"/>
  <c r="AC325" i="3"/>
  <c r="AC323" i="3"/>
  <c r="AC326" i="3"/>
  <c r="AC324" i="3"/>
  <c r="AC327" i="3"/>
  <c r="AC328" i="3"/>
  <c r="AC329" i="3"/>
  <c r="AC2" i="3"/>
  <c r="AA3" i="3"/>
  <c r="AA4" i="3"/>
  <c r="AA5" i="3"/>
  <c r="AA6" i="3"/>
  <c r="AA7" i="3"/>
  <c r="AA8" i="3"/>
  <c r="AA13" i="3"/>
  <c r="AA9" i="3"/>
  <c r="AA10" i="3"/>
  <c r="AA11" i="3"/>
  <c r="AA12" i="3"/>
  <c r="AA14" i="3"/>
  <c r="AA15" i="3"/>
  <c r="AA16" i="3"/>
  <c r="AA17" i="3"/>
  <c r="AA18" i="3"/>
  <c r="AA22" i="3"/>
  <c r="AA19" i="3"/>
  <c r="AA20" i="3"/>
  <c r="AA21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6" i="3"/>
  <c r="AA51" i="3"/>
  <c r="AA52" i="3"/>
  <c r="AA57" i="3"/>
  <c r="AA53" i="3"/>
  <c r="AA54" i="3"/>
  <c r="AA45" i="3"/>
  <c r="AA55" i="3"/>
  <c r="AA47" i="3"/>
  <c r="AA56" i="3"/>
  <c r="H11" i="4" s="1"/>
  <c r="AA48" i="3"/>
  <c r="AA49" i="3"/>
  <c r="AA50" i="3"/>
  <c r="AA58" i="3"/>
  <c r="AA59" i="3"/>
  <c r="AA60" i="3"/>
  <c r="AA61" i="3"/>
  <c r="AA63" i="3"/>
  <c r="AA64" i="3"/>
  <c r="AA62" i="3"/>
  <c r="AA67" i="3"/>
  <c r="AA68" i="3"/>
  <c r="AA65" i="3"/>
  <c r="AA66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3" i="3"/>
  <c r="AA87" i="3"/>
  <c r="AA84" i="3"/>
  <c r="AA85" i="3"/>
  <c r="AA82" i="3"/>
  <c r="AA86" i="3"/>
  <c r="AA88" i="3"/>
  <c r="AA89" i="3"/>
  <c r="AA90" i="3"/>
  <c r="AA97" i="3"/>
  <c r="AA95" i="3"/>
  <c r="AA91" i="3"/>
  <c r="AA92" i="3"/>
  <c r="AA96" i="3"/>
  <c r="AA93" i="3"/>
  <c r="AA94" i="3"/>
  <c r="AA98" i="3"/>
  <c r="AA99" i="3"/>
  <c r="AA101" i="3"/>
  <c r="AA100" i="3"/>
  <c r="AA103" i="3"/>
  <c r="AA102" i="3"/>
  <c r="AA104" i="3"/>
  <c r="AA105" i="3"/>
  <c r="AA106" i="3"/>
  <c r="AA107" i="3"/>
  <c r="AA108" i="3"/>
  <c r="AA109" i="3"/>
  <c r="AA111" i="3"/>
  <c r="AA110" i="3"/>
  <c r="AA112" i="3"/>
  <c r="AA113" i="3"/>
  <c r="AA114" i="3"/>
  <c r="AA115" i="3"/>
  <c r="AA120" i="3"/>
  <c r="AA119" i="3"/>
  <c r="AA116" i="3"/>
  <c r="AA117" i="3"/>
  <c r="AA118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4" i="3"/>
  <c r="AA135" i="3"/>
  <c r="AA136" i="3"/>
  <c r="AA149" i="3"/>
  <c r="AA137" i="3"/>
  <c r="AA138" i="3"/>
  <c r="AA139" i="3"/>
  <c r="AA150" i="3"/>
  <c r="AA140" i="3"/>
  <c r="AA141" i="3"/>
  <c r="AA142" i="3"/>
  <c r="AA143" i="3"/>
  <c r="AA151" i="3"/>
  <c r="AA152" i="3"/>
  <c r="AA158" i="3"/>
  <c r="AA153" i="3"/>
  <c r="AA154" i="3"/>
  <c r="AA155" i="3"/>
  <c r="AA156" i="3"/>
  <c r="AA159" i="3"/>
  <c r="AA157" i="3"/>
  <c r="AA144" i="3"/>
  <c r="AA145" i="3"/>
  <c r="AA160" i="3"/>
  <c r="AA161" i="3"/>
  <c r="AA133" i="3"/>
  <c r="AA146" i="3"/>
  <c r="AA147" i="3"/>
  <c r="AA148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7" i="3"/>
  <c r="AA176" i="3"/>
  <c r="AA178" i="3"/>
  <c r="AA179" i="3"/>
  <c r="AA180" i="3"/>
  <c r="AA181" i="3"/>
  <c r="AA182" i="3"/>
  <c r="AA183" i="3"/>
  <c r="AA184" i="3"/>
  <c r="AA186" i="3"/>
  <c r="AA185" i="3"/>
  <c r="AA187" i="3"/>
  <c r="AA188" i="3"/>
  <c r="AA189" i="3"/>
  <c r="AA190" i="3"/>
  <c r="AA191" i="3"/>
  <c r="AA192" i="3"/>
  <c r="AA193" i="3"/>
  <c r="AA194" i="3"/>
  <c r="AA195" i="3"/>
  <c r="AA196" i="3"/>
  <c r="AA254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28" i="3"/>
  <c r="AA212" i="3"/>
  <c r="AA213" i="3"/>
  <c r="AA229" i="3"/>
  <c r="AA214" i="3"/>
  <c r="AA215" i="3"/>
  <c r="AA216" i="3"/>
  <c r="AA230" i="3"/>
  <c r="AA231" i="3"/>
  <c r="AA217" i="3"/>
  <c r="AA218" i="3"/>
  <c r="AA232" i="3"/>
  <c r="AA219" i="3"/>
  <c r="AA233" i="3"/>
  <c r="AA234" i="3"/>
  <c r="AA220" i="3"/>
  <c r="AA221" i="3"/>
  <c r="AA222" i="3"/>
  <c r="AA223" i="3"/>
  <c r="AA224" i="3"/>
  <c r="AA225" i="3"/>
  <c r="AA226" i="3"/>
  <c r="AA235" i="3"/>
  <c r="AA227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80" i="3"/>
  <c r="AA281" i="3"/>
  <c r="AA282" i="3"/>
  <c r="AA283" i="3"/>
  <c r="AA284" i="3"/>
  <c r="AA285" i="3"/>
  <c r="AA286" i="3"/>
  <c r="AA278" i="3"/>
  <c r="AA279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2" i="3"/>
  <c r="AA301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7" i="3"/>
  <c r="AA315" i="3"/>
  <c r="AA316" i="3"/>
  <c r="AA318" i="3"/>
  <c r="AA319" i="3"/>
  <c r="AA320" i="3"/>
  <c r="AA321" i="3"/>
  <c r="AA322" i="3"/>
  <c r="AA325" i="3"/>
  <c r="AA323" i="3"/>
  <c r="AA326" i="3"/>
  <c r="AA324" i="3"/>
  <c r="AA327" i="3"/>
  <c r="AA328" i="3"/>
  <c r="AA329" i="3"/>
  <c r="AA2" i="3"/>
  <c r="G20" i="4" l="1"/>
  <c r="G22" i="4" s="1"/>
  <c r="F52" i="4" s="1"/>
  <c r="F21" i="4"/>
  <c r="H21" i="4" s="1"/>
  <c r="H22" i="4" s="1"/>
  <c r="F53" i="4" s="1"/>
  <c r="V3" i="3"/>
  <c r="V4" i="3"/>
  <c r="V5" i="3"/>
  <c r="V6" i="3"/>
  <c r="V7" i="3"/>
  <c r="V8" i="3"/>
  <c r="V13" i="3"/>
  <c r="V9" i="3"/>
  <c r="V10" i="3"/>
  <c r="V11" i="3"/>
  <c r="V12" i="3"/>
  <c r="V14" i="3"/>
  <c r="V15" i="3"/>
  <c r="V16" i="3"/>
  <c r="V17" i="3"/>
  <c r="V18" i="3"/>
  <c r="V22" i="3"/>
  <c r="V19" i="3"/>
  <c r="V20" i="3"/>
  <c r="V21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6" i="3"/>
  <c r="V51" i="3"/>
  <c r="V52" i="3"/>
  <c r="V57" i="3"/>
  <c r="V53" i="3"/>
  <c r="V54" i="3"/>
  <c r="V45" i="3"/>
  <c r="V55" i="3"/>
  <c r="V47" i="3"/>
  <c r="V56" i="3"/>
  <c r="H13" i="4" s="1"/>
  <c r="V48" i="3"/>
  <c r="V49" i="3"/>
  <c r="V50" i="3"/>
  <c r="V58" i="3"/>
  <c r="V59" i="3"/>
  <c r="V60" i="3"/>
  <c r="V61" i="3"/>
  <c r="V63" i="3"/>
  <c r="V64" i="3"/>
  <c r="V62" i="3"/>
  <c r="V67" i="3"/>
  <c r="V68" i="3"/>
  <c r="V65" i="3"/>
  <c r="V66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3" i="3"/>
  <c r="V87" i="3"/>
  <c r="V84" i="3"/>
  <c r="V85" i="3"/>
  <c r="V82" i="3"/>
  <c r="V86" i="3"/>
  <c r="V88" i="3"/>
  <c r="V89" i="3"/>
  <c r="V90" i="3"/>
  <c r="V97" i="3"/>
  <c r="V95" i="3"/>
  <c r="V91" i="3"/>
  <c r="V92" i="3"/>
  <c r="V96" i="3"/>
  <c r="V93" i="3"/>
  <c r="V94" i="3"/>
  <c r="V98" i="3"/>
  <c r="V99" i="3"/>
  <c r="V101" i="3"/>
  <c r="V100" i="3"/>
  <c r="V103" i="3"/>
  <c r="V102" i="3"/>
  <c r="V104" i="3"/>
  <c r="V105" i="3"/>
  <c r="V106" i="3"/>
  <c r="V107" i="3"/>
  <c r="V108" i="3"/>
  <c r="V109" i="3"/>
  <c r="V111" i="3"/>
  <c r="V110" i="3"/>
  <c r="V112" i="3"/>
  <c r="V113" i="3"/>
  <c r="V114" i="3"/>
  <c r="V115" i="3"/>
  <c r="V120" i="3"/>
  <c r="V119" i="3"/>
  <c r="V116" i="3"/>
  <c r="V117" i="3"/>
  <c r="V118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4" i="3"/>
  <c r="V135" i="3"/>
  <c r="V136" i="3"/>
  <c r="V149" i="3"/>
  <c r="V137" i="3"/>
  <c r="V138" i="3"/>
  <c r="V139" i="3"/>
  <c r="V150" i="3"/>
  <c r="V140" i="3"/>
  <c r="V141" i="3"/>
  <c r="V142" i="3"/>
  <c r="V143" i="3"/>
  <c r="V151" i="3"/>
  <c r="V152" i="3"/>
  <c r="V158" i="3"/>
  <c r="V153" i="3"/>
  <c r="V154" i="3"/>
  <c r="V155" i="3"/>
  <c r="V156" i="3"/>
  <c r="V159" i="3"/>
  <c r="V157" i="3"/>
  <c r="V144" i="3"/>
  <c r="V145" i="3"/>
  <c r="V160" i="3"/>
  <c r="V161" i="3"/>
  <c r="V133" i="3"/>
  <c r="V146" i="3"/>
  <c r="V147" i="3"/>
  <c r="V148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7" i="3"/>
  <c r="V176" i="3"/>
  <c r="V178" i="3"/>
  <c r="V179" i="3"/>
  <c r="V180" i="3"/>
  <c r="V181" i="3"/>
  <c r="V182" i="3"/>
  <c r="V183" i="3"/>
  <c r="V184" i="3"/>
  <c r="V186" i="3"/>
  <c r="V185" i="3"/>
  <c r="V187" i="3"/>
  <c r="V188" i="3"/>
  <c r="V189" i="3"/>
  <c r="V190" i="3"/>
  <c r="V191" i="3"/>
  <c r="V192" i="3"/>
  <c r="V193" i="3"/>
  <c r="V194" i="3"/>
  <c r="V195" i="3"/>
  <c r="V196" i="3"/>
  <c r="V254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28" i="3"/>
  <c r="V212" i="3"/>
  <c r="V213" i="3"/>
  <c r="V229" i="3"/>
  <c r="V214" i="3"/>
  <c r="V215" i="3"/>
  <c r="V216" i="3"/>
  <c r="V230" i="3"/>
  <c r="V231" i="3"/>
  <c r="V217" i="3"/>
  <c r="V218" i="3"/>
  <c r="V232" i="3"/>
  <c r="V219" i="3"/>
  <c r="V233" i="3"/>
  <c r="V234" i="3"/>
  <c r="V220" i="3"/>
  <c r="V221" i="3"/>
  <c r="V222" i="3"/>
  <c r="V223" i="3"/>
  <c r="V224" i="3"/>
  <c r="V225" i="3"/>
  <c r="V226" i="3"/>
  <c r="V235" i="3"/>
  <c r="V227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80" i="3"/>
  <c r="V281" i="3"/>
  <c r="V282" i="3"/>
  <c r="V283" i="3"/>
  <c r="V284" i="3"/>
  <c r="V285" i="3"/>
  <c r="V286" i="3"/>
  <c r="V278" i="3"/>
  <c r="V279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2" i="3"/>
  <c r="V301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7" i="3"/>
  <c r="V315" i="3"/>
  <c r="V316" i="3"/>
  <c r="V318" i="3"/>
  <c r="V319" i="3"/>
  <c r="V320" i="3"/>
  <c r="V321" i="3"/>
  <c r="V322" i="3"/>
  <c r="V325" i="3"/>
  <c r="V323" i="3"/>
  <c r="V326" i="3"/>
  <c r="V324" i="3"/>
  <c r="V327" i="3"/>
  <c r="V328" i="3"/>
  <c r="V329" i="3"/>
  <c r="V2" i="3"/>
  <c r="E44" i="3"/>
  <c r="E29" i="3"/>
  <c r="E28" i="3"/>
  <c r="E27" i="3"/>
  <c r="E24" i="3"/>
  <c r="E22" i="3"/>
  <c r="G19" i="3"/>
  <c r="E11" i="3"/>
  <c r="H1" i="3"/>
  <c r="F54" i="4" l="1"/>
  <c r="G23" i="4" s="1"/>
  <c r="F9" i="3" s="1"/>
  <c r="G109" i="3" s="1"/>
  <c r="C36" i="3"/>
  <c r="I35" i="3" s="1"/>
  <c r="I36" i="3" s="1"/>
  <c r="C96" i="3" l="1"/>
  <c r="D96" i="3" s="1"/>
  <c r="C98" i="3"/>
  <c r="D98" i="3" s="1"/>
  <c r="C97" i="3"/>
  <c r="D97" i="3" s="1"/>
  <c r="C100" i="3"/>
  <c r="D100" i="3" s="1"/>
  <c r="C99" i="3"/>
  <c r="D99" i="3" s="1"/>
  <c r="C95" i="3"/>
  <c r="D95" i="3" s="1"/>
  <c r="G38" i="3"/>
  <c r="N35" i="3" l="1"/>
  <c r="G37" i="3" s="1"/>
  <c r="G45" i="3" s="1"/>
  <c r="I46" i="3" s="1"/>
  <c r="G110" i="3" s="1"/>
  <c r="J46" i="3" l="1"/>
  <c r="G47" i="3" s="1"/>
  <c r="D49" i="3" s="1"/>
  <c r="J47" i="3" l="1"/>
  <c r="G46" i="3"/>
  <c r="G111" i="3" s="1"/>
  <c r="H49" i="3" s="1"/>
</calcChain>
</file>

<file path=xl/sharedStrings.xml><?xml version="1.0" encoding="utf-8"?>
<sst xmlns="http://schemas.openxmlformats.org/spreadsheetml/2006/main" count="1037" uniqueCount="663">
  <si>
    <t>1. Ogólne zagrożenia technologiczne</t>
  </si>
  <si>
    <t>Zakres współczynnika</t>
  </si>
  <si>
    <t>A. Egzotermiczne reakcje chemiczne</t>
  </si>
  <si>
    <t>B. Endotermiczne procesy</t>
  </si>
  <si>
    <t>C. Manipulowanie materiałem i przesyłanie materiału</t>
  </si>
  <si>
    <t>D. Węzły technologiczne obudowane lub wewnątrz budynku</t>
  </si>
  <si>
    <t>E. Dostęp</t>
  </si>
  <si>
    <t>F. Niska temperatura</t>
  </si>
  <si>
    <t>H. Korozja i erozja</t>
  </si>
  <si>
    <t>L. Urządzenia rotacyjne</t>
  </si>
  <si>
    <t>Współczynnik Szczególnych Zagrożeń Technologicznych (F2)</t>
  </si>
  <si>
    <t>Nr</t>
  </si>
  <si>
    <t>Wydział:</t>
  </si>
  <si>
    <t>Obszar / kraj:</t>
  </si>
  <si>
    <t>Lokalizacja:</t>
  </si>
  <si>
    <t>Data:</t>
  </si>
  <si>
    <t>Instalacja:</t>
  </si>
  <si>
    <t>Węzeł produkcyjny:</t>
  </si>
  <si>
    <t>Węzeł technologiczny:</t>
  </si>
  <si>
    <t>Wykonał:</t>
  </si>
  <si>
    <t>Zatwierdził:</t>
  </si>
  <si>
    <t>Budynek:</t>
  </si>
  <si>
    <t>Sprawdził (kierownictwo):</t>
  </si>
  <si>
    <t>Sprawdził (centrum techn.):</t>
  </si>
  <si>
    <t>Sprawdził (Dział Bezpieczeństwa Technicznego)</t>
  </si>
  <si>
    <t>Materiały w węźle technologicznym:</t>
  </si>
  <si>
    <t>Status działania:</t>
  </si>
  <si>
    <t>projekt</t>
  </si>
  <si>
    <t>uruchomienie</t>
  </si>
  <si>
    <t>normalna praca</t>
  </si>
  <si>
    <t>wyłączenie</t>
  </si>
  <si>
    <t>Podstawowy materiał dla współczynnika materiałowego:</t>
  </si>
  <si>
    <t>Współczynnik materiałowy:</t>
  </si>
  <si>
    <t>Zastosowany współczynnik</t>
  </si>
  <si>
    <t>Współczynnik podstawowy</t>
  </si>
  <si>
    <t>F. Drenaż i kontrola wycieków</t>
  </si>
  <si>
    <t>Współczynnik Ogólnych Zagrożeń Technologicznych (F1)</t>
  </si>
  <si>
    <t>2. Szczegółowe zagrożenia technologiczne</t>
  </si>
  <si>
    <t>A. Materiał toksyczny</t>
  </si>
  <si>
    <t>B. Ciśnienie niższe od atmosferycznego</t>
  </si>
  <si>
    <t>C. Praca w zakresie lub w pobliżu zakresu palności</t>
  </si>
  <si>
    <t>w osłonie gazów obojętnych</t>
  </si>
  <si>
    <t>bez osłony gazów obojętnych</t>
  </si>
  <si>
    <t>1. Stokaż cieczy łatwopalnych</t>
  </si>
  <si>
    <t>2. Zakłócenie procesu lub awaria przedmuchu</t>
  </si>
  <si>
    <t>3. Zawsze w zakresie palności</t>
  </si>
  <si>
    <t>D. Eksplozja pyłu</t>
  </si>
  <si>
    <t>E. Ciśnienie</t>
  </si>
  <si>
    <t>ciśnienie robocze</t>
  </si>
  <si>
    <t>nastawa zabezpieczenia</t>
  </si>
  <si>
    <t>kPa(G)</t>
  </si>
  <si>
    <t>kg</t>
  </si>
  <si>
    <t>kJ/kg</t>
  </si>
  <si>
    <t>G. Ilość materiału palnego</t>
  </si>
  <si>
    <t>1. Cieczy lub gazy w procesie</t>
  </si>
  <si>
    <t>2. Ciecze lub gazy na stokażu</t>
  </si>
  <si>
    <t>3. Palne ciała na składzie, pył w procesie</t>
  </si>
  <si>
    <t>I. Nieszczelności - połączenia i uszczelnienie</t>
  </si>
  <si>
    <t>J. Użycie urządzeń opalanych</t>
  </si>
  <si>
    <r>
      <t>m</t>
    </r>
    <r>
      <rPr>
        <vertAlign val="superscript"/>
        <sz val="10"/>
        <color theme="1"/>
        <rFont val="Czcionka tekstu podstawowego"/>
        <family val="2"/>
        <charset val="238"/>
      </rPr>
      <t>3</t>
    </r>
  </si>
  <si>
    <t>K. Układy wymiany ciepła z gorącym olejem</t>
  </si>
  <si>
    <t>Współczynnik Zagrożeń Węzła Technologicznego (F1 x F2 = F3)</t>
  </si>
  <si>
    <t>Wskaźnik zagrożenia Pożarem i Wybuchem</t>
  </si>
  <si>
    <t>(FIRE AND EXPLOSION INDEX)</t>
  </si>
  <si>
    <t>F3 x MF = F&amp;EI</t>
  </si>
  <si>
    <t>0,30 ÷ 1,25</t>
  </si>
  <si>
    <t>0,20 ÷ 0,40</t>
  </si>
  <si>
    <t>0,25 ÷ 1,05</t>
  </si>
  <si>
    <t>0,25 ÷ 0,90</t>
  </si>
  <si>
    <t>0,20 ÷ 0,35</t>
  </si>
  <si>
    <t>0,20 ÷ 0,50</t>
  </si>
  <si>
    <t>0,20 ÷ 0,80</t>
  </si>
  <si>
    <t>Współczynnik szkód</t>
  </si>
  <si>
    <t>0,25 ÷ 2,00</t>
  </si>
  <si>
    <t>0,20 ÷ 0,30</t>
  </si>
  <si>
    <t>0,10 ÷ 0,75</t>
  </si>
  <si>
    <t>0,10 ÷ 1,50</t>
  </si>
  <si>
    <t>0,15 ÷ 1,15</t>
  </si>
  <si>
    <r>
      <rPr>
        <b/>
        <sz val="11"/>
        <color theme="1"/>
        <rFont val="Czcionka tekstu podstawowego"/>
        <charset val="238"/>
      </rPr>
      <t>Promień narażenia</t>
    </r>
    <r>
      <rPr>
        <sz val="11"/>
        <color theme="1"/>
        <rFont val="Czcionka tekstu podstawowego"/>
        <family val="2"/>
        <charset val="238"/>
      </rPr>
      <t xml:space="preserve">                    (R = F&amp;EI x 0,84 x 0,305)</t>
    </r>
  </si>
  <si>
    <t>związek</t>
  </si>
  <si>
    <t>MF</t>
  </si>
  <si>
    <t>Hc BTU/LB ·10^3</t>
  </si>
  <si>
    <t>Hc kJ/kg</t>
  </si>
  <si>
    <t>Nh</t>
  </si>
  <si>
    <t>Nf</t>
  </si>
  <si>
    <t>t_zap F</t>
  </si>
  <si>
    <t>t_zap C</t>
  </si>
  <si>
    <t>t_wrz F</t>
  </si>
  <si>
    <t>t_wrz C</t>
  </si>
  <si>
    <t>acetaldehyde</t>
  </si>
  <si>
    <t>acetic acid</t>
  </si>
  <si>
    <t>acetic anhydride</t>
  </si>
  <si>
    <t>acetone</t>
  </si>
  <si>
    <t>acetone cyanohydrin</t>
  </si>
  <si>
    <t>acetonitrile</t>
  </si>
  <si>
    <t>acetyl chloride</t>
  </si>
  <si>
    <t>acetylene</t>
  </si>
  <si>
    <t>acetyl ethanolamine</t>
  </si>
  <si>
    <t>acetyl peroxide</t>
  </si>
  <si>
    <t>acetyl salicylic acid</t>
  </si>
  <si>
    <t>acetyl tributyl citrate</t>
  </si>
  <si>
    <t>acrolein</t>
  </si>
  <si>
    <t>acrylamide</t>
  </si>
  <si>
    <t>acrylic acid</t>
  </si>
  <si>
    <t>acrylonitrile</t>
  </si>
  <si>
    <t>allyl alcohol</t>
  </si>
  <si>
    <t>allylamine</t>
  </si>
  <si>
    <t>allyl bromide</t>
  </si>
  <si>
    <t>allyl chromide</t>
  </si>
  <si>
    <t>allyl ether</t>
  </si>
  <si>
    <t>aluminum chloride</t>
  </si>
  <si>
    <t>ammonia</t>
  </si>
  <si>
    <t>ammonium nitrate</t>
  </si>
  <si>
    <t>amyl acetate</t>
  </si>
  <si>
    <t>amyl nitrate</t>
  </si>
  <si>
    <t>aniline</t>
  </si>
  <si>
    <t>barium chlorate</t>
  </si>
  <si>
    <t>barium stearate</t>
  </si>
  <si>
    <t>benzaldehyde</t>
  </si>
  <si>
    <t>benzene</t>
  </si>
  <si>
    <t>benzoic acid</t>
  </si>
  <si>
    <t>benzyl acetate</t>
  </si>
  <si>
    <t>benzyl alcohol</t>
  </si>
  <si>
    <t>benzyl chloride</t>
  </si>
  <si>
    <t>benzyl peroxide</t>
  </si>
  <si>
    <t>bisphenol A</t>
  </si>
  <si>
    <t>bromine</t>
  </si>
  <si>
    <t>bromobenzene</t>
  </si>
  <si>
    <t>bromotoluene (o)</t>
  </si>
  <si>
    <t>butadiene (1,3)</t>
  </si>
  <si>
    <t>butane</t>
  </si>
  <si>
    <t>butanol (1)</t>
  </si>
  <si>
    <t>butene (1)</t>
  </si>
  <si>
    <t>butyl acetate</t>
  </si>
  <si>
    <t>butyl acrylate</t>
  </si>
  <si>
    <t>butylamine (n)</t>
  </si>
  <si>
    <t>butyl bromide</t>
  </si>
  <si>
    <t>butyl chloride</t>
  </si>
  <si>
    <t>butelene (2,3) oxide</t>
  </si>
  <si>
    <t>butyl ether</t>
  </si>
  <si>
    <t>butyl (t) hydroperoxide</t>
  </si>
  <si>
    <t>butyl nitrate</t>
  </si>
  <si>
    <t>butyl (t) peracetate</t>
  </si>
  <si>
    <t>butyl (t) perbenzoate</t>
  </si>
  <si>
    <t>butyl (t) peroxide</t>
  </si>
  <si>
    <t>calcium carbide</t>
  </si>
  <si>
    <t>calcium stearate</t>
  </si>
  <si>
    <t>carbon disulfide</t>
  </si>
  <si>
    <t>carbon monooxide</t>
  </si>
  <si>
    <t>chlorine</t>
  </si>
  <si>
    <t>chlorine dioxide</t>
  </si>
  <si>
    <t>chloracetyl chloride</t>
  </si>
  <si>
    <t>chlorobenzene</t>
  </si>
  <si>
    <t>chloroform</t>
  </si>
  <si>
    <t>chloro methyl ethyl ether</t>
  </si>
  <si>
    <t>chloro(1) nitroethane(1)</t>
  </si>
  <si>
    <t>chlorophenol(o)</t>
  </si>
  <si>
    <t>chloropicrin</t>
  </si>
  <si>
    <t>chloropropane (2)</t>
  </si>
  <si>
    <t>chlorostyrene</t>
  </si>
  <si>
    <t>coumarin</t>
  </si>
  <si>
    <t>cumene</t>
  </si>
  <si>
    <t>cumene hydroperoxide</t>
  </si>
  <si>
    <t>cyanamide</t>
  </si>
  <si>
    <t>cyclobutane</t>
  </si>
  <si>
    <t>cyclohexane</t>
  </si>
  <si>
    <t>cyclohexanol</t>
  </si>
  <si>
    <t>cyclopropane</t>
  </si>
  <si>
    <t>DER 331</t>
  </si>
  <si>
    <t>dichlorobenzene</t>
  </si>
  <si>
    <t>dichlorothylene(1,2)</t>
  </si>
  <si>
    <t>dichloropropene(1,3)</t>
  </si>
  <si>
    <t>dichloropropene(2,3)</t>
  </si>
  <si>
    <t>dichloro(3,5) salicylic acid</t>
  </si>
  <si>
    <t>dichlorostyrene</t>
  </si>
  <si>
    <t>dicumyl peroxide</t>
  </si>
  <si>
    <t>dicyclopentadiene</t>
  </si>
  <si>
    <t>diesel fuel</t>
  </si>
  <si>
    <t>diethyloamine</t>
  </si>
  <si>
    <t>diethyl (m) benzene</t>
  </si>
  <si>
    <t>diethyl carbonate</t>
  </si>
  <si>
    <t>diethylene glycol</t>
  </si>
  <si>
    <t>diethyl ether</t>
  </si>
  <si>
    <t>diethyl peroxide</t>
  </si>
  <si>
    <t>diisobutylene</t>
  </si>
  <si>
    <t>diisopropyl benzene</t>
  </si>
  <si>
    <t>dimethylamine</t>
  </si>
  <si>
    <t>dimethyl(2,2) propanol(1)</t>
  </si>
  <si>
    <t>dinitrobenzene(1,2)</t>
  </si>
  <si>
    <t>dinitro(2,4) phenol</t>
  </si>
  <si>
    <t>dioxane(1,4)</t>
  </si>
  <si>
    <t>dioxolane</t>
  </si>
  <si>
    <t>diphenyl oxide</t>
  </si>
  <si>
    <t>dipropylene glycol</t>
  </si>
  <si>
    <t>di-tert-butyl peroxide</t>
  </si>
  <si>
    <t>divinyl acetylene</t>
  </si>
  <si>
    <t>divinylbenzene</t>
  </si>
  <si>
    <t>divinyl ether</t>
  </si>
  <si>
    <t>DOWANOL DM</t>
  </si>
  <si>
    <t>DOWANOL EB</t>
  </si>
  <si>
    <t>DOWANOL PM</t>
  </si>
  <si>
    <t>DOWANOL PnB</t>
  </si>
  <si>
    <t>DOWICIL 75</t>
  </si>
  <si>
    <t>DOWICIL 200</t>
  </si>
  <si>
    <t>DOWFROST</t>
  </si>
  <si>
    <t>DOWFROST HD</t>
  </si>
  <si>
    <t>DOWFROTH 250</t>
  </si>
  <si>
    <t>DOWTHERM 4000</t>
  </si>
  <si>
    <t>DOWTHERM A</t>
  </si>
  <si>
    <t>DOWTHERM G</t>
  </si>
  <si>
    <t>DOWTHERM HT</t>
  </si>
  <si>
    <t>DOWTHERM J</t>
  </si>
  <si>
    <t>DOWTHERM LF</t>
  </si>
  <si>
    <t>DOWTHERM Q</t>
  </si>
  <si>
    <t>DOWTHERM SR-1</t>
  </si>
  <si>
    <t>DURSBAN</t>
  </si>
  <si>
    <t>epichlorphydrin</t>
  </si>
  <si>
    <t>ethane</t>
  </si>
  <si>
    <t>ethenolamine</t>
  </si>
  <si>
    <t>ethyl acetate</t>
  </si>
  <si>
    <t>ethyl acrylate</t>
  </si>
  <si>
    <t>ethyl alcohol</t>
  </si>
  <si>
    <t>ethylamine</t>
  </si>
  <si>
    <t>ethyl benzene</t>
  </si>
  <si>
    <t>ethyl benzoate</t>
  </si>
  <si>
    <t>ethyl bromide</t>
  </si>
  <si>
    <t>ethylbutylamine</t>
  </si>
  <si>
    <t>ethyl butylcarbonate</t>
  </si>
  <si>
    <t>ethyl butyrate</t>
  </si>
  <si>
    <t>ethyl chloride</t>
  </si>
  <si>
    <t>ethyl chloroformate</t>
  </si>
  <si>
    <t>ethylene</t>
  </si>
  <si>
    <t>ethylene carbonate</t>
  </si>
  <si>
    <t>ethylenediamine</t>
  </si>
  <si>
    <t>ethylene dichloride</t>
  </si>
  <si>
    <t>ethylene glycol</t>
  </si>
  <si>
    <t>ethylene glycol dimethyl ether</t>
  </si>
  <si>
    <t>ethylene glycol monoacetate</t>
  </si>
  <si>
    <t>ethylenimine</t>
  </si>
  <si>
    <t>ethylene oxide</t>
  </si>
  <si>
    <t>ethyl ether</t>
  </si>
  <si>
    <t>ethyl formate</t>
  </si>
  <si>
    <t>ethylhezanal(2)</t>
  </si>
  <si>
    <t>ethylidene (1,1) dichloride</t>
  </si>
  <si>
    <t>ethy mercaptan</t>
  </si>
  <si>
    <t>ethyl nitrate</t>
  </si>
  <si>
    <t>ethyl propyl ether</t>
  </si>
  <si>
    <t>ethyl(p) toluene</t>
  </si>
  <si>
    <t>fluorine</t>
  </si>
  <si>
    <t>fluorobenzene</t>
  </si>
  <si>
    <t>formaldehyde (anhydrous gas)</t>
  </si>
  <si>
    <t>formaldehyde solutions (37÷56%)</t>
  </si>
  <si>
    <t>formic acid</t>
  </si>
  <si>
    <t>fuel oil 1</t>
  </si>
  <si>
    <t>fuel oil 2</t>
  </si>
  <si>
    <t>fuel oil 4</t>
  </si>
  <si>
    <t>fuel oil 6</t>
  </si>
  <si>
    <t>furan</t>
  </si>
  <si>
    <t>gasoline</t>
  </si>
  <si>
    <t>glycerine</t>
  </si>
  <si>
    <t>glycolnitrile</t>
  </si>
  <si>
    <t>heptane</t>
  </si>
  <si>
    <t>hexachlorobutadiene</t>
  </si>
  <si>
    <t>hexachloro diphenyl oxide</t>
  </si>
  <si>
    <t>hexanal</t>
  </si>
  <si>
    <t>hexane</t>
  </si>
  <si>
    <t>hydrazine (anhydrous)</t>
  </si>
  <si>
    <t>hydrogen</t>
  </si>
  <si>
    <t>hydrogen cyanide</t>
  </si>
  <si>
    <t>hydrogen peroxide (40÷60 %)</t>
  </si>
  <si>
    <t>hydrogen sulfide</t>
  </si>
  <si>
    <t>hydroxylamine</t>
  </si>
  <si>
    <t>hydroxyethyl(2) acrylate</t>
  </si>
  <si>
    <t>hydroxypropyl acrylate</t>
  </si>
  <si>
    <t>isobutane</t>
  </si>
  <si>
    <t>isobutyl alcohol</t>
  </si>
  <si>
    <t>isobutylamine</t>
  </si>
  <si>
    <t>isobutylchloride</t>
  </si>
  <si>
    <t>isopentane</t>
  </si>
  <si>
    <t>isoprene</t>
  </si>
  <si>
    <t>isopropanol</t>
  </si>
  <si>
    <t>isopropenyl acetylene</t>
  </si>
  <si>
    <t>isopropyl acetate</t>
  </si>
  <si>
    <t>osipropylamine</t>
  </si>
  <si>
    <t>isopropyl chloride</t>
  </si>
  <si>
    <t>isopropyl ether</t>
  </si>
  <si>
    <t>jet fuel A &amp; A-1</t>
  </si>
  <si>
    <t>jet fuel B</t>
  </si>
  <si>
    <t>kerosene</t>
  </si>
  <si>
    <t>laouryl bromide</t>
  </si>
  <si>
    <t>lauryl mercaptan</t>
  </si>
  <si>
    <t>lauryl peroxide</t>
  </si>
  <si>
    <t>LORSBAN 4E</t>
  </si>
  <si>
    <t>lube oil (mineral)</t>
  </si>
  <si>
    <t>magnesium</t>
  </si>
  <si>
    <t>maleic anhydride</t>
  </si>
  <si>
    <t>methacrylic acid</t>
  </si>
  <si>
    <t>methane</t>
  </si>
  <si>
    <t>methyl acetate</t>
  </si>
  <si>
    <t>methylacetylene</t>
  </si>
  <si>
    <t>methyl acrylate</t>
  </si>
  <si>
    <t>methyl alcohol</t>
  </si>
  <si>
    <t>methylamine</t>
  </si>
  <si>
    <t>methyl amyl ketone</t>
  </si>
  <si>
    <t>methyl borate</t>
  </si>
  <si>
    <t>methyl carbonate</t>
  </si>
  <si>
    <t>methylcellulose (bag storage)</t>
  </si>
  <si>
    <t>methylcellulose dust</t>
  </si>
  <si>
    <t>methyl chloride</t>
  </si>
  <si>
    <t>methyl chloroacetate</t>
  </si>
  <si>
    <t>methylcyclohexane</t>
  </si>
  <si>
    <t>methyl cyclopentadiene</t>
  </si>
  <si>
    <t>methylene chloride</t>
  </si>
  <si>
    <t>methylene diphenyl diisocyanate</t>
  </si>
  <si>
    <t>methyl ether</t>
  </si>
  <si>
    <t>methyl ethyl ketone</t>
  </si>
  <si>
    <t>methyl formate</t>
  </si>
  <si>
    <t>methyl hydrazine</t>
  </si>
  <si>
    <t>methyl isobutyl ketone</t>
  </si>
  <si>
    <t>methyl mercaptan</t>
  </si>
  <si>
    <t>methyl methyacrylate</t>
  </si>
  <si>
    <t>methylpropenal (2)</t>
  </si>
  <si>
    <t>methyl vinyl ketone</t>
  </si>
  <si>
    <t>mineral oil</t>
  </si>
  <si>
    <t>mineral seal oil</t>
  </si>
  <si>
    <t>monochlorobenzene</t>
  </si>
  <si>
    <t>monoethanolamine</t>
  </si>
  <si>
    <t>naphta</t>
  </si>
  <si>
    <t>naphtalene</t>
  </si>
  <si>
    <t>nitrobenzene</t>
  </si>
  <si>
    <t>nitrobiphenyl</t>
  </si>
  <si>
    <t>nitrochlorobenzene</t>
  </si>
  <si>
    <t>nitroethane</t>
  </si>
  <si>
    <t>nitroglycerine</t>
  </si>
  <si>
    <t>nitromethane</t>
  </si>
  <si>
    <t>nitropropane</t>
  </si>
  <si>
    <t>nitrotoluen-p</t>
  </si>
  <si>
    <t>N-SERV</t>
  </si>
  <si>
    <t>octane</t>
  </si>
  <si>
    <t>octyl(t) mercaptan</t>
  </si>
  <si>
    <t>oleic acid</t>
  </si>
  <si>
    <t>pentamethylene oxide</t>
  </si>
  <si>
    <t>pentane</t>
  </si>
  <si>
    <t>peracetic acid</t>
  </si>
  <si>
    <t>perchloric acid</t>
  </si>
  <si>
    <t>petroleum - crude</t>
  </si>
  <si>
    <t>phenol</t>
  </si>
  <si>
    <t>picoline(2)</t>
  </si>
  <si>
    <t>polyethylene</t>
  </si>
  <si>
    <t>polystyrene foam</t>
  </si>
  <si>
    <t>polystyrene pellets</t>
  </si>
  <si>
    <t>potassium (metal)</t>
  </si>
  <si>
    <t>potassium chlorate</t>
  </si>
  <si>
    <t>potassium nitrate</t>
  </si>
  <si>
    <t>potassium perchlorate</t>
  </si>
  <si>
    <t>potassium peroxide</t>
  </si>
  <si>
    <t>propanal</t>
  </si>
  <si>
    <t>propane</t>
  </si>
  <si>
    <t>propanediamine(1,3)</t>
  </si>
  <si>
    <t>propargyl alcohol</t>
  </si>
  <si>
    <t>propargyl bromide</t>
  </si>
  <si>
    <t>proprionic nitrile</t>
  </si>
  <si>
    <t>propyl acetate</t>
  </si>
  <si>
    <t>propyl alcohol</t>
  </si>
  <si>
    <t>propylamine</t>
  </si>
  <si>
    <t>propylbenzene</t>
  </si>
  <si>
    <t>propylchloride</t>
  </si>
  <si>
    <t>propylene</t>
  </si>
  <si>
    <t>propylene dichloride</t>
  </si>
  <si>
    <t>propylene glycol</t>
  </si>
  <si>
    <t>propylene oxide</t>
  </si>
  <si>
    <t>propyl(n) ether</t>
  </si>
  <si>
    <t>propyl(n) nitrate</t>
  </si>
  <si>
    <t>pyridine</t>
  </si>
  <si>
    <t>sodium</t>
  </si>
  <si>
    <t>sodium chlorate</t>
  </si>
  <si>
    <t>sodium dichromate</t>
  </si>
  <si>
    <t>sodium hydride</t>
  </si>
  <si>
    <t>sodium hydrosulfite</t>
  </si>
  <si>
    <t>sodium perchlorate</t>
  </si>
  <si>
    <t>sodium peroxide</t>
  </si>
  <si>
    <t>stearic acid</t>
  </si>
  <si>
    <t>styrene</t>
  </si>
  <si>
    <t>sulfur chloride</t>
  </si>
  <si>
    <t>sulfur dioxide</t>
  </si>
  <si>
    <t>SYLTHERM 800</t>
  </si>
  <si>
    <t>SYLTHERM XLT</t>
  </si>
  <si>
    <t>TELONE II</t>
  </si>
  <si>
    <t>TELONE C-17</t>
  </si>
  <si>
    <t>toluene</t>
  </si>
  <si>
    <t>tributylamine</t>
  </si>
  <si>
    <t>trichlorobenzene (1,2,4)</t>
  </si>
  <si>
    <t>trichloroethane (1,1,1)</t>
  </si>
  <si>
    <t>trichloroethylene</t>
  </si>
  <si>
    <t>trichloropropane (1,2,3)</t>
  </si>
  <si>
    <t>triethanolamine</t>
  </si>
  <si>
    <t>triethylaluminum</t>
  </si>
  <si>
    <t>triethylamine</t>
  </si>
  <si>
    <t>triethylene glycol</t>
  </si>
  <si>
    <t>triisobutylaluminum</t>
  </si>
  <si>
    <t>trippropylaminum</t>
  </si>
  <si>
    <t>tripropylamine</t>
  </si>
  <si>
    <t>vinyl acetate</t>
  </si>
  <si>
    <t>vinyl acetylene</t>
  </si>
  <si>
    <t>vinyl allyl ether</t>
  </si>
  <si>
    <t>vinyl butyl ether</t>
  </si>
  <si>
    <t>vinyl chloride</t>
  </si>
  <si>
    <t>vinyl(4) cyclohexene</t>
  </si>
  <si>
    <t>vinyl ethyl ether</t>
  </si>
  <si>
    <t>vinylidene chloride</t>
  </si>
  <si>
    <t>vinyl toluene</t>
  </si>
  <si>
    <t>xylene(p)</t>
  </si>
  <si>
    <t>zinc chlorate</t>
  </si>
  <si>
    <t>zinc stearate</t>
  </si>
  <si>
    <t>diethylamine</t>
  </si>
  <si>
    <t>tripropylbenzene</t>
  </si>
  <si>
    <t>toluene 2,4-diisocyanate</t>
  </si>
  <si>
    <t>Obszar / kraj</t>
  </si>
  <si>
    <t>Wydział</t>
  </si>
  <si>
    <t>Lokalizacja</t>
  </si>
  <si>
    <t>Instalacja</t>
  </si>
  <si>
    <t>Węzeł produkcyjny</t>
  </si>
  <si>
    <t>Węzeł technologiczny</t>
  </si>
  <si>
    <t>Wykonał</t>
  </si>
  <si>
    <t>Zatwierdził</t>
  </si>
  <si>
    <t>Budynek</t>
  </si>
  <si>
    <t>Materiały</t>
  </si>
  <si>
    <t>Podstawowy materiał</t>
  </si>
  <si>
    <t>Wielkość stokażu [kg]</t>
  </si>
  <si>
    <t>Nadciśnienie robocze [kPa(G)]</t>
  </si>
  <si>
    <t>Nastawa zabezpieczenia [kPa(G)]</t>
  </si>
  <si>
    <r>
      <t>Wielkość tacy [m</t>
    </r>
    <r>
      <rPr>
        <vertAlign val="superscript"/>
        <sz val="11"/>
        <color theme="1"/>
        <rFont val="Czcionka tekstu podstawowego"/>
        <charset val="238"/>
      </rPr>
      <t>3</t>
    </r>
    <r>
      <rPr>
        <sz val="11"/>
        <color theme="1"/>
        <rFont val="Czcionka tekstu podstawowego"/>
        <family val="2"/>
        <charset val="238"/>
      </rPr>
      <t>]</t>
    </r>
  </si>
  <si>
    <t>psig</t>
  </si>
  <si>
    <t>Lb</t>
  </si>
  <si>
    <r>
      <t>N</t>
    </r>
    <r>
      <rPr>
        <sz val="8"/>
        <color theme="1"/>
        <rFont val="Czcionka tekstu podstawowego"/>
        <charset val="238"/>
      </rPr>
      <t>f</t>
    </r>
  </si>
  <si>
    <r>
      <t>N</t>
    </r>
    <r>
      <rPr>
        <sz val="8"/>
        <color theme="1"/>
        <rFont val="Czcionka tekstu podstawowego"/>
        <charset val="238"/>
      </rPr>
      <t>r</t>
    </r>
  </si>
  <si>
    <t>t_wrzenia [C]</t>
  </si>
  <si>
    <t>t_zapłonu [C]</t>
  </si>
  <si>
    <t>ciepło spalania [kJ/kg]</t>
  </si>
  <si>
    <t>wpisane</t>
  </si>
  <si>
    <t>bufor</t>
  </si>
  <si>
    <t>z bazy</t>
  </si>
  <si>
    <t>Korekcja wpółczynnika materiałowego (MF):</t>
  </si>
  <si>
    <r>
      <t>wartości N</t>
    </r>
    <r>
      <rPr>
        <sz val="8"/>
        <color theme="1"/>
        <rFont val="Czcionka tekstu podstawowego"/>
        <charset val="238"/>
      </rPr>
      <t>f</t>
    </r>
    <r>
      <rPr>
        <sz val="11"/>
        <color theme="1"/>
        <rFont val="Czcionka tekstu podstawowego"/>
        <family val="2"/>
        <charset val="238"/>
      </rPr>
      <t xml:space="preserve"> i N</t>
    </r>
    <r>
      <rPr>
        <sz val="8"/>
        <color theme="1"/>
        <rFont val="Czcionka tekstu podstawowego"/>
        <charset val="238"/>
      </rPr>
      <t>r</t>
    </r>
  </si>
  <si>
    <t>Temperatura pracy / stokażu [C]</t>
  </si>
  <si>
    <t>suma</t>
  </si>
  <si>
    <t>skorygowany MF</t>
  </si>
  <si>
    <t>płyny</t>
  </si>
  <si>
    <t>uwodornienie</t>
  </si>
  <si>
    <t>hydroliza</t>
  </si>
  <si>
    <t>izomeryzacja</t>
  </si>
  <si>
    <t>sulfonowanie</t>
  </si>
  <si>
    <t>neutralizacja</t>
  </si>
  <si>
    <t>alkilowanie</t>
  </si>
  <si>
    <t>estryfikacja</t>
  </si>
  <si>
    <t>przyłączenie</t>
  </si>
  <si>
    <t>przyłączenie b. reaktywnego kwasu</t>
  </si>
  <si>
    <t>utlenianie</t>
  </si>
  <si>
    <t>polimeryzacja</t>
  </si>
  <si>
    <t>kondensacja</t>
  </si>
  <si>
    <t>spalanie / mocne ulteniacze</t>
  </si>
  <si>
    <t>chlorowcowanie</t>
  </si>
  <si>
    <t>nitrowanie</t>
  </si>
  <si>
    <t>Wybierz</t>
  </si>
  <si>
    <t>kalcynowanie</t>
  </si>
  <si>
    <t>elektroliza</t>
  </si>
  <si>
    <t>piroliza (ogrzewanie elektryczne)</t>
  </si>
  <si>
    <t>kraking (ogrzewanie elektryczne)</t>
  </si>
  <si>
    <t>piroliza (opalanie gazowe)</t>
  </si>
  <si>
    <t>kraking (opalanie gazowe)</t>
  </si>
  <si>
    <t>załadunek / rozładunek (klasa I lub LPG)</t>
  </si>
  <si>
    <t>wprowadzanie powietrza podczas ręcznego dozowania</t>
  </si>
  <si>
    <t>składowanie cieczy gazów (Nf = 3 lub 4)</t>
  </si>
  <si>
    <t>składowanie ciał stałych (Nf = 3)</t>
  </si>
  <si>
    <t>składowanie ciał stałych (Nf = 2)</t>
  </si>
  <si>
    <t>ciecze palne (37,8 &lt; t_zap &lt; 60 C)</t>
  </si>
  <si>
    <t>filtry / odpylacze w ramach obszaru obudowanego</t>
  </si>
  <si>
    <t>cieczy łatwopalne powyżej temp. zapłonu</t>
  </si>
  <si>
    <t>LPG lub ciecze powyżej temp. wrzenia</t>
  </si>
  <si>
    <t>obszar technologiczny</t>
  </si>
  <si>
    <r>
      <t>do 925 m</t>
    </r>
    <r>
      <rPr>
        <vertAlign val="superscript"/>
        <sz val="11"/>
        <color theme="1"/>
        <rFont val="Czcionka tekstu podstawowego"/>
        <charset val="238"/>
      </rPr>
      <t>2</t>
    </r>
  </si>
  <si>
    <r>
      <t>powyżej 925 m</t>
    </r>
    <r>
      <rPr>
        <vertAlign val="superscript"/>
        <sz val="11"/>
        <color theme="1"/>
        <rFont val="Czcionka tekstu podstawowego"/>
        <charset val="238"/>
      </rPr>
      <t>2</t>
    </r>
  </si>
  <si>
    <t>obwałowanie</t>
  </si>
  <si>
    <t>płaski obszar</t>
  </si>
  <si>
    <t>drenaż / basen retencyjny</t>
  </si>
  <si>
    <t>zalanie linii energetycznych</t>
  </si>
  <si>
    <t>ciśnienie poniżej 500 mm Hg</t>
  </si>
  <si>
    <t>ciśnienie powyżej 500 mm Hg</t>
  </si>
  <si>
    <t>składowanie w zbiornikach cieczy palnych (Nf = 3 lub 4), powietrze może być wdychane w czasie odpompowania</t>
  </si>
  <si>
    <t>otwarte odwietrzenie / brak inertyzacji</t>
  </si>
  <si>
    <t>ciecze palne w temp. powyżej zapłonu bez inertyzacji</t>
  </si>
  <si>
    <t>inertyzacja</t>
  </si>
  <si>
    <t>zakres palności po awarii AKP</t>
  </si>
  <si>
    <t>procesy zawsze w zakresie palności</t>
  </si>
  <si>
    <r>
      <t xml:space="preserve">cząstka &gt; 175 </t>
    </r>
    <r>
      <rPr>
        <sz val="11"/>
        <color theme="1"/>
        <rFont val="Czcionka tekstu podstawowego"/>
        <charset val="238"/>
      </rPr>
      <t>μ</t>
    </r>
    <r>
      <rPr>
        <sz val="9.35"/>
        <color theme="1"/>
        <rFont val="Czcionka tekstu podstawowego"/>
        <family val="2"/>
        <charset val="238"/>
      </rPr>
      <t>m; oczko 60 ÷ 80</t>
    </r>
  </si>
  <si>
    <t>cząstka 150 ÷ 175 μm; oczko 80 ÷ 100</t>
  </si>
  <si>
    <t>cząstka 100 ÷ 150 μm; oczko 100 ÷ 150</t>
  </si>
  <si>
    <t>cząstka 75 ÷ 100 μm; oczko 150 ÷ 200</t>
  </si>
  <si>
    <t>cząstka &lt; 75 μm; oczko &gt; 200</t>
  </si>
  <si>
    <t>y_rob</t>
  </si>
  <si>
    <t>y_nast</t>
  </si>
  <si>
    <t>wsp</t>
  </si>
  <si>
    <t>materiały bardzo lepkie</t>
  </si>
  <si>
    <t>sprężone gazy / ciecze palne pod ciśnieniem</t>
  </si>
  <si>
    <t>skroplone gazy łatwopalne</t>
  </si>
  <si>
    <t>materiały łatwopalne składowane powyżej wrzenia</t>
  </si>
  <si>
    <t>żadne z powyższych</t>
  </si>
  <si>
    <t>para</t>
  </si>
  <si>
    <t>stal węglowa, temp. procesu &lt; kruchości</t>
  </si>
  <si>
    <t>stal inna, temp. &lt; kruchości</t>
  </si>
  <si>
    <t>nie dotyczy</t>
  </si>
  <si>
    <t>ciecze lub gazy w procesie</t>
  </si>
  <si>
    <t>gazy skroplone na stokażu</t>
  </si>
  <si>
    <t>palne ciecze (t_zap &lt; 37,8 C) na stokażu</t>
  </si>
  <si>
    <t>palne ciecze (37,8 &lt; t_zap &lt; 60 C) na stokażu</t>
  </si>
  <si>
    <t>palne ciała stałe / pyły (gęstość &lt; 10 kg/m3)</t>
  </si>
  <si>
    <t>palne ciała stałe / pyły (gęstość &gt; 10 kg/m3)</t>
  </si>
  <si>
    <t>&lt; 0,127 mm/r</t>
  </si>
  <si>
    <t>0,127 ÷ 0,254 mm/r</t>
  </si>
  <si>
    <t>&gt; 0,254 mm/r</t>
  </si>
  <si>
    <t>naprężeniowa</t>
  </si>
  <si>
    <t>okładzina</t>
  </si>
  <si>
    <t>korozja</t>
  </si>
  <si>
    <t>niewielkie wyciek z uszczelnień pompy i dławika</t>
  </si>
  <si>
    <t>regularne wycieki na pompach, kompresorach, kołnierzach</t>
  </si>
  <si>
    <t>cykliczme wahania ciśnienia i temperatury</t>
  </si>
  <si>
    <t>materiał przenikliwy / zawiesina ścierna</t>
  </si>
  <si>
    <t>szkła wziernikowe, mieszki, kompensatory</t>
  </si>
  <si>
    <t>materiał jest pyłem palnym</t>
  </si>
  <si>
    <t>brak urządzeń opalanych</t>
  </si>
  <si>
    <t>przyjęta odległość</t>
  </si>
  <si>
    <t>m</t>
  </si>
  <si>
    <t>ft</t>
  </si>
  <si>
    <t>materiał może się wydostać w temp. &gt; wrzenia</t>
  </si>
  <si>
    <t>materiał może się wydostać w temp. &gt; zapłonu</t>
  </si>
  <si>
    <t>bez gorącego oleju</t>
  </si>
  <si>
    <t>olej &gt; temp. zapłonu</t>
  </si>
  <si>
    <t>olej &gt; temp. wrzenia</t>
  </si>
  <si>
    <t>m3</t>
  </si>
  <si>
    <t>odległość</t>
  </si>
  <si>
    <t>ilość oleju</t>
  </si>
  <si>
    <t>Element</t>
  </si>
  <si>
    <t>Zakres współczynnika korekcyjnego</t>
  </si>
  <si>
    <r>
      <t xml:space="preserve">Stosowany współczynnik korekcyjny </t>
    </r>
    <r>
      <rPr>
        <b/>
        <vertAlign val="superscript"/>
        <sz val="10"/>
        <color theme="1"/>
        <rFont val="Arial"/>
        <family val="2"/>
        <charset val="238"/>
      </rPr>
      <t>(1)</t>
    </r>
  </si>
  <si>
    <t>a. Zasilanie awaryjne</t>
  </si>
  <si>
    <t>b. Chłodzenie</t>
  </si>
  <si>
    <t>0,97 do 0,99</t>
  </si>
  <si>
    <t>c. Kontrola wybuchu</t>
  </si>
  <si>
    <t>0,84 do 0,98</t>
  </si>
  <si>
    <t>d. Wyłączenie awaryjne</t>
  </si>
  <si>
    <t>0,96 do 0,99</t>
  </si>
  <si>
    <t>e. Sterowanie komputerowe</t>
  </si>
  <si>
    <t>0,93 do 0,99</t>
  </si>
  <si>
    <t>f. Gaz inertny</t>
  </si>
  <si>
    <t>0,94 do 0,96</t>
  </si>
  <si>
    <t>g. Instrukcje / procedury ruchowe</t>
  </si>
  <si>
    <t>0,91 do 0,99</t>
  </si>
  <si>
    <t>h. Przegląd odczynników reaktywnych</t>
  </si>
  <si>
    <t>0,91 do 0,98</t>
  </si>
  <si>
    <t>i. Analiza innych zagrożeń technologicznych</t>
  </si>
  <si>
    <t>a. Zdalne zawory regulacyjne</t>
  </si>
  <si>
    <t>0,96 do 0,98</t>
  </si>
  <si>
    <t>b. Opróżniania samoczynne / spust</t>
  </si>
  <si>
    <t>c. Drenaż</t>
  </si>
  <si>
    <t>0,91 do 0,97</t>
  </si>
  <si>
    <t>d. Blokada</t>
  </si>
  <si>
    <t>a. Wykrywanie nieszczelności</t>
  </si>
  <si>
    <t>0,94 do 0,98</t>
  </si>
  <si>
    <t>b. Stal konstrukcyjna</t>
  </si>
  <si>
    <t>0,95 do 0,98</t>
  </si>
  <si>
    <t>c. Doprowadzenie wody gaśniczej</t>
  </si>
  <si>
    <t>0,94 do 0,97</t>
  </si>
  <si>
    <t>d. Systemy specjalne</t>
  </si>
  <si>
    <t>e. Systemy tryskaczowe</t>
  </si>
  <si>
    <t>0,74 do 0,97</t>
  </si>
  <si>
    <t>f. Kurtyny wodne</t>
  </si>
  <si>
    <t>0,97 do 0,98</t>
  </si>
  <si>
    <t>g. Piana</t>
  </si>
  <si>
    <t>0,92 do 0,97</t>
  </si>
  <si>
    <t>h. Gaśnice ręczne / monitory</t>
  </si>
  <si>
    <t>0,93 do 0,98</t>
  </si>
  <si>
    <t>i. Zabezpieczenie kabli</t>
  </si>
  <si>
    <t>Współczynnik korekcyjny dla sterowania procesem (C1)</t>
  </si>
  <si>
    <t>Współczynnik korekcyjny dla odcięcia materiału (C2)</t>
  </si>
  <si>
    <t>Współczynnik korekcyjny dla zabezpieczenia ppoż. (C3)</t>
  </si>
  <si>
    <t>Współczynniki korekcyjne dla kontroli strat</t>
  </si>
  <si>
    <t>C1=</t>
  </si>
  <si>
    <t xml:space="preserve">C2 = </t>
  </si>
  <si>
    <t>C3=</t>
  </si>
  <si>
    <t>Współczynnik korekcyjny kontroli strat</t>
  </si>
  <si>
    <t>utrzymanie normalnego chłodzenia min. 10 min</t>
  </si>
  <si>
    <t>rezerwowy uklad chłodzenia 150 % min. 10 min.</t>
  </si>
  <si>
    <t>brak chłodzenia awaryjnego</t>
  </si>
  <si>
    <t>układy tłumienia eksplozji dla pyłów / par</t>
  </si>
  <si>
    <t>układy powstrzymania defraglarcji</t>
  </si>
  <si>
    <t>zawory / płytki bezpieczeństwa</t>
  </si>
  <si>
    <t>przepony bezpieczeństwa / odwietrzenia przeciwwybuchowe</t>
  </si>
  <si>
    <t>sekwencja wyłączenia od warunków odbiegających od normy</t>
  </si>
  <si>
    <t>czujniki wibracji uruchamiają alarm</t>
  </si>
  <si>
    <t>czujniki wibracji uruchamiają blokadę</t>
  </si>
  <si>
    <t>komputer jako pomoc dla operatorów</t>
  </si>
  <si>
    <t>komputer do sterowania procesem</t>
  </si>
  <si>
    <t>komputer z funkcją "abort" przy krytycznych sygnałach wejściowych</t>
  </si>
  <si>
    <t>możliwość rezerwowego systemu sterowania</t>
  </si>
  <si>
    <t>poduszka gazu inertnego</t>
  </si>
  <si>
    <t>gaz inertny do całkowitego przedmuchania węzła</t>
  </si>
  <si>
    <t>Instrukcje ruchowe obejmujące</t>
  </si>
  <si>
    <t>Program dla chemikaliów Reaktywnych (okazjonalne)</t>
  </si>
  <si>
    <t>Program dla chemikaliów Reaktywnych (i dalej)</t>
  </si>
  <si>
    <t>Ilościowe Analizy Zagrożenia (QRA)</t>
  </si>
  <si>
    <t>Szczegółowa Analiza Skutków</t>
  </si>
  <si>
    <t>Hierarchiczna Analiza Uszkodzeń</t>
  </si>
  <si>
    <t>HAZOP</t>
  </si>
  <si>
    <t>Analiza Rodzajów i Efektów Awarii (FMEA)</t>
  </si>
  <si>
    <t>Analiza Zapobiegania Zagrożeniom dla Środowiska, Zdrowia, Bezpieczeństwa</t>
  </si>
  <si>
    <t>Analiza "What if"</t>
  </si>
  <si>
    <t>Oceny List Kontrolnych</t>
  </si>
  <si>
    <t>Zarządzania Przeglądami Zmian</t>
  </si>
  <si>
    <t>obsługiwane zdalnie zawory odcinające</t>
  </si>
  <si>
    <t>zdalne zawory odcinające (uruchamiane min. raz na rok)</t>
  </si>
  <si>
    <t>awaryjny zbiornik spustowy</t>
  </si>
  <si>
    <t>awaryjny zbiornik spustowy poza węzłem</t>
  </si>
  <si>
    <t>odwietrzenie awaryjne do pochodni / odbieralnika</t>
  </si>
  <si>
    <t>normalne odwietrzenie do pochodni / odbieralnika</t>
  </si>
  <si>
    <t>drenaż przyjmie 100 % wycieku + wody z gaszenia</t>
  </si>
  <si>
    <t>drenaż przyjmie 50 % wycieków</t>
  </si>
  <si>
    <t>obwałowanie i do zbiornika retencyjnego w odległości &gt; 15 m</t>
  </si>
  <si>
    <t>czujniki gazu z sygnalizacją</t>
  </si>
  <si>
    <t>czujniki gazu z uruchomieniem ochrony</t>
  </si>
  <si>
    <t>ognioodpornienie do 5 m</t>
  </si>
  <si>
    <t>ognioodpornienie 5 ÷10 m</t>
  </si>
  <si>
    <t>ognioodpornienie &gt; 10 m</t>
  </si>
  <si>
    <t>woda gaśnicza powyżej 690 kPa</t>
  </si>
  <si>
    <t>woda gaśnicza poniżej 690 kPa</t>
  </si>
  <si>
    <t>układ mokry</t>
  </si>
  <si>
    <t>układ suchy</t>
  </si>
  <si>
    <t>&gt;13,8 l/min/m2</t>
  </si>
  <si>
    <t>obszar &gt; 929 m2</t>
  </si>
  <si>
    <t>obszar &gt; 1858 m2</t>
  </si>
  <si>
    <t>obszar &gt; 2787 m2</t>
  </si>
  <si>
    <t>6,11÷8,15 l/min/m2</t>
  </si>
  <si>
    <t>8,15÷13,8 l/min/m2</t>
  </si>
  <si>
    <t>jeden rząd dysz na wysokości max 5 m</t>
  </si>
  <si>
    <t>dwa rzędy (drugi rząd dysz max 2 m)</t>
  </si>
  <si>
    <t>ręczny wstrzyk piany do tryskaczy</t>
  </si>
  <si>
    <t>automatyczny układ pianowy</t>
  </si>
  <si>
    <t>ręczny system piany dla zbiorników z dachem pływającym</t>
  </si>
  <si>
    <t>piana dla zbiorników z dachem pływającym uruchamiana od czujników pożaru</t>
  </si>
  <si>
    <t>podpowierzchniowe układy pianowe w zbiornikach z dachem stożkowym</t>
  </si>
  <si>
    <t>ręcznie nakładana piana wokół zewnętrza zbiornika</t>
  </si>
  <si>
    <t>automatyczne nakładanie piane wokół zewnętrza zbiornika</t>
  </si>
  <si>
    <t>wystarczająca ilość gaśnic ręcznych / przenośnych</t>
  </si>
  <si>
    <t>działka wodne</t>
  </si>
  <si>
    <t>działka wodna z bezpiecznej odległości</t>
  </si>
  <si>
    <t>blacha metalowa poniżej korytka z rozpyloną wodą skierowaną w górę</t>
  </si>
  <si>
    <t>materiał ognioodporniający na blasze metalowej</t>
  </si>
  <si>
    <t>trasa kablowa pod ziemią lub w kanale</t>
  </si>
  <si>
    <t>F3</t>
  </si>
  <si>
    <r>
      <t>N</t>
    </r>
    <r>
      <rPr>
        <sz val="8"/>
        <rFont val="Czcionka tekstu podstawowego"/>
        <family val="2"/>
        <charset val="238"/>
      </rPr>
      <t>f</t>
    </r>
  </si>
  <si>
    <r>
      <t>N</t>
    </r>
    <r>
      <rPr>
        <sz val="8"/>
        <rFont val="Czcionka tekstu podstawowego"/>
        <family val="2"/>
        <charset val="238"/>
      </rPr>
      <t>h</t>
    </r>
  </si>
  <si>
    <r>
      <t>N</t>
    </r>
    <r>
      <rPr>
        <sz val="8"/>
        <rFont val="Czcionka tekstu podstawowego"/>
        <family val="2"/>
        <charset val="238"/>
      </rPr>
      <t>r</t>
    </r>
  </si>
  <si>
    <t>do 925 m2</t>
  </si>
  <si>
    <t>redundacyjne krytyczne sygnały wejściowe z instalacji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</si>
</sst>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4">
    <font>
      <sz val="11"/>
      <color theme="1"/>
      <name val="Czcionka tekstu podstawowego"/>
      <family val="2"/>
      <charset val="238"/>
    </font>
    <font>
      <sz val="8"/>
      <color theme="1"/>
      <name val="Czcionka tekstu podstawowego"/>
      <family val="2"/>
      <charset val="238"/>
    </font>
    <font>
      <sz val="10"/>
      <color theme="1"/>
      <name val="Czcionka tekstu podstawowego"/>
      <family val="2"/>
      <charset val="238"/>
    </font>
    <font>
      <b/>
      <sz val="11"/>
      <color theme="1"/>
      <name val="Czcionka tekstu podstawowego"/>
      <charset val="238"/>
    </font>
    <font>
      <b/>
      <sz val="9"/>
      <color theme="1"/>
      <name val="Czcionka tekstu podstawowego"/>
      <charset val="238"/>
    </font>
    <font>
      <vertAlign val="superscript"/>
      <sz val="10"/>
      <color theme="1"/>
      <name val="Czcionka tekstu podstawowego"/>
      <family val="2"/>
      <charset val="238"/>
    </font>
    <font>
      <sz val="11"/>
      <color theme="1"/>
      <name val="Czcionka tekstu podstawowego"/>
      <charset val="238"/>
    </font>
    <font>
      <sz val="8"/>
      <name val="Tahoma"/>
      <family val="2"/>
      <charset val="238"/>
    </font>
    <font>
      <vertAlign val="superscript"/>
      <sz val="11"/>
      <color theme="1"/>
      <name val="Czcionka tekstu podstawowego"/>
      <charset val="238"/>
    </font>
    <font>
      <sz val="8"/>
      <color theme="1"/>
      <name val="Czcionka tekstu podstawowego"/>
      <charset val="238"/>
    </font>
    <font>
      <sz val="11"/>
      <color theme="8" tint="0.59999389629810485"/>
      <name val="Czcionka tekstu podstawowego"/>
      <family val="2"/>
      <charset val="238"/>
    </font>
    <font>
      <sz val="10"/>
      <name val="Czcionka tekstu podstawowego"/>
      <family val="2"/>
      <charset val="238"/>
    </font>
    <font>
      <sz val="11"/>
      <color theme="0"/>
      <name val="Czcionka tekstu podstawowego"/>
      <family val="2"/>
      <charset val="238"/>
    </font>
    <font>
      <sz val="9.35"/>
      <color theme="1"/>
      <name val="Czcionka tekstu podstawowego"/>
      <family val="2"/>
      <charset val="238"/>
    </font>
    <font>
      <sz val="11"/>
      <name val="Czcionka tekstu podstawowego"/>
      <family val="2"/>
      <charset val="238"/>
    </font>
    <font>
      <b/>
      <sz val="13"/>
      <color theme="1"/>
      <name val="Czcionka tekstu podstawowego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vertAlign val="superscript"/>
      <sz val="10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z val="13"/>
      <color theme="1"/>
      <name val="Czcionka tekstu podstawowego"/>
      <family val="2"/>
      <charset val="238"/>
    </font>
    <font>
      <sz val="8"/>
      <name val="Czcionka tekstu podstawowego"/>
      <family val="2"/>
      <charset val="238"/>
    </font>
    <font>
      <sz val="7"/>
      <color theme="1"/>
      <name val="Czcionka tekstu podstawowego"/>
      <family val="2"/>
      <charset val="238"/>
    </font>
    <font>
      <sz val="11"/>
      <color rgb="FFB7DEE8"/>
      <name val="Czcionka tekstu podstawowego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19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22" fontId="1" fillId="0" borderId="21" xfId="0" applyNumberFormat="1" applyFont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2" fillId="0" borderId="13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0" fillId="3" borderId="23" xfId="0" applyFill="1" applyBorder="1" applyAlignment="1">
      <alignment horizontal="center" vertical="center"/>
    </xf>
    <xf numFmtId="0" fontId="0" fillId="3" borderId="46" xfId="0" applyFill="1" applyBorder="1" applyAlignment="1">
      <alignment vertical="center"/>
    </xf>
    <xf numFmtId="0" fontId="0" fillId="3" borderId="32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0" fillId="6" borderId="44" xfId="0" applyFill="1" applyBorder="1" applyAlignment="1">
      <alignment vertical="center"/>
    </xf>
    <xf numFmtId="2" fontId="0" fillId="0" borderId="0" xfId="0" applyNumberFormat="1" applyAlignment="1">
      <alignment vertical="center"/>
    </xf>
    <xf numFmtId="0" fontId="0" fillId="0" borderId="0" xfId="0" applyFill="1" applyBorder="1" applyAlignment="1">
      <alignment vertical="center"/>
    </xf>
    <xf numFmtId="0" fontId="0" fillId="6" borderId="35" xfId="0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50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7" fillId="0" borderId="35" xfId="0" applyFont="1" applyBorder="1" applyAlignment="1">
      <alignment horizontal="center" vertical="top" wrapText="1"/>
    </xf>
    <xf numFmtId="0" fontId="17" fillId="0" borderId="38" xfId="0" applyFont="1" applyBorder="1" applyAlignment="1">
      <alignment horizontal="center" vertical="top" wrapText="1"/>
    </xf>
    <xf numFmtId="0" fontId="16" fillId="0" borderId="51" xfId="0" applyFont="1" applyBorder="1" applyAlignment="1">
      <alignment vertical="top" wrapText="1"/>
    </xf>
    <xf numFmtId="0" fontId="16" fillId="0" borderId="39" xfId="0" applyFont="1" applyBorder="1" applyAlignment="1">
      <alignment horizontal="center" vertical="top" wrapText="1"/>
    </xf>
    <xf numFmtId="0" fontId="16" fillId="0" borderId="0" xfId="0" applyFont="1" applyFill="1" applyBorder="1" applyAlignment="1">
      <alignment vertical="top" wrapText="1"/>
    </xf>
    <xf numFmtId="2" fontId="16" fillId="0" borderId="39" xfId="0" applyNumberFormat="1" applyFont="1" applyBorder="1" applyAlignment="1">
      <alignment horizontal="center" vertical="top" wrapText="1"/>
    </xf>
    <xf numFmtId="0" fontId="1" fillId="0" borderId="0" xfId="0" applyFont="1"/>
    <xf numFmtId="0" fontId="0" fillId="10" borderId="35" xfId="0" applyFill="1" applyBorder="1" applyAlignment="1">
      <alignment horizontal="center"/>
    </xf>
    <xf numFmtId="164" fontId="0" fillId="10" borderId="35" xfId="0" applyNumberFormat="1" applyFill="1" applyBorder="1" applyAlignment="1">
      <alignment horizontal="center"/>
    </xf>
    <xf numFmtId="0" fontId="1" fillId="9" borderId="35" xfId="0" applyFont="1" applyFill="1" applyBorder="1"/>
    <xf numFmtId="164" fontId="0" fillId="11" borderId="0" xfId="0" applyNumberForma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vertical="center"/>
    </xf>
    <xf numFmtId="0" fontId="10" fillId="3" borderId="0" xfId="0" applyFont="1" applyFill="1" applyAlignment="1">
      <alignment horizontal="right" vertical="center"/>
    </xf>
    <xf numFmtId="0" fontId="14" fillId="3" borderId="0" xfId="0" applyFont="1" applyFill="1" applyAlignment="1">
      <alignment vertical="center"/>
    </xf>
    <xf numFmtId="0" fontId="0" fillId="0" borderId="35" xfId="0" applyNumberFormat="1" applyFill="1" applyBorder="1" applyAlignment="1">
      <alignment horizontal="center" vertical="center"/>
    </xf>
    <xf numFmtId="0" fontId="1" fillId="9" borderId="37" xfId="0" applyFont="1" applyFill="1" applyBorder="1" applyAlignment="1"/>
    <xf numFmtId="0" fontId="1" fillId="0" borderId="0" xfId="0" applyFont="1" applyFill="1" applyBorder="1" applyAlignment="1"/>
    <xf numFmtId="0" fontId="0" fillId="4" borderId="3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15" fillId="7" borderId="42" xfId="0" applyFont="1" applyFill="1" applyBorder="1" applyAlignment="1">
      <alignment horizontal="center" vertical="center"/>
    </xf>
    <xf numFmtId="0" fontId="15" fillId="7" borderId="45" xfId="0" applyFont="1" applyFill="1" applyBorder="1" applyAlignment="1">
      <alignment horizontal="center" vertical="center"/>
    </xf>
    <xf numFmtId="0" fontId="15" fillId="7" borderId="48" xfId="0" applyFont="1" applyFill="1" applyBorder="1" applyAlignment="1">
      <alignment horizontal="center" vertical="center"/>
    </xf>
    <xf numFmtId="0" fontId="15" fillId="7" borderId="40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 wrapText="1"/>
    </xf>
    <xf numFmtId="0" fontId="0" fillId="6" borderId="42" xfId="0" applyFill="1" applyBorder="1" applyAlignment="1">
      <alignment horizontal="center" vertical="center" wrapText="1"/>
    </xf>
    <xf numFmtId="0" fontId="0" fillId="6" borderId="45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6" borderId="49" xfId="0" applyFill="1" applyBorder="1" applyAlignment="1">
      <alignment horizontal="center" vertical="center" wrapText="1"/>
    </xf>
    <xf numFmtId="0" fontId="0" fillId="6" borderId="48" xfId="0" applyFill="1" applyBorder="1" applyAlignment="1">
      <alignment horizontal="center" vertical="center" wrapText="1"/>
    </xf>
    <xf numFmtId="0" fontId="0" fillId="6" borderId="40" xfId="0" applyFill="1" applyBorder="1" applyAlignment="1">
      <alignment horizontal="center" vertical="center" wrapText="1"/>
    </xf>
    <xf numFmtId="0" fontId="0" fillId="6" borderId="39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1" fillId="6" borderId="38" xfId="0" applyFont="1" applyFill="1" applyBorder="1" applyAlignment="1">
      <alignment horizontal="center" vertical="center"/>
    </xf>
    <xf numFmtId="0" fontId="11" fillId="6" borderId="36" xfId="0" applyFont="1" applyFill="1" applyBorder="1" applyAlignment="1">
      <alignment horizontal="center" vertical="center" wrapText="1"/>
    </xf>
    <xf numFmtId="0" fontId="11" fillId="6" borderId="37" xfId="0" applyFont="1" applyFill="1" applyBorder="1" applyAlignment="1">
      <alignment horizontal="center" vertical="center" wrapText="1"/>
    </xf>
    <xf numFmtId="0" fontId="11" fillId="6" borderId="38" xfId="0" applyFont="1" applyFill="1" applyBorder="1" applyAlignment="1">
      <alignment horizontal="center" vertical="center" wrapText="1"/>
    </xf>
    <xf numFmtId="0" fontId="2" fillId="6" borderId="36" xfId="0" applyFont="1" applyFill="1" applyBorder="1" applyAlignment="1">
      <alignment horizontal="center" vertical="center" wrapText="1"/>
    </xf>
    <xf numFmtId="0" fontId="2" fillId="6" borderId="37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23" xfId="0" applyFon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2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23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2" fillId="0" borderId="22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0" borderId="22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2" borderId="5" xfId="0" applyFont="1" applyFill="1" applyBorder="1" applyAlignment="1">
      <alignment horizontal="center" vertical="center"/>
    </xf>
    <xf numFmtId="0" fontId="0" fillId="2" borderId="23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2" fontId="0" fillId="8" borderId="5" xfId="0" applyNumberFormat="1" applyFont="1" applyFill="1" applyBorder="1" applyAlignment="1">
      <alignment horizontal="center" vertical="center"/>
    </xf>
    <xf numFmtId="2" fontId="0" fillId="8" borderId="23" xfId="0" applyNumberFormat="1" applyFont="1" applyFill="1" applyBorder="1" applyAlignment="1">
      <alignment horizontal="center" vertical="center"/>
    </xf>
    <xf numFmtId="0" fontId="3" fillId="0" borderId="22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2" fontId="0" fillId="0" borderId="5" xfId="0" applyNumberFormat="1" applyFont="1" applyBorder="1" applyAlignment="1">
      <alignment horizontal="center" vertical="center" wrapText="1"/>
    </xf>
    <xf numFmtId="2" fontId="0" fillId="0" borderId="23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0" fillId="0" borderId="22" xfId="0" applyBorder="1" applyAlignment="1">
      <alignment horizontal="center" vertical="center" wrapText="1"/>
    </xf>
    <xf numFmtId="0" fontId="2" fillId="0" borderId="24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0" borderId="26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1" fillId="0" borderId="2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2" fontId="0" fillId="3" borderId="5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2" fontId="0" fillId="3" borderId="32" xfId="0" applyNumberFormat="1" applyFont="1" applyFill="1" applyBorder="1" applyAlignment="1">
      <alignment horizontal="center" vertical="center"/>
    </xf>
    <xf numFmtId="2" fontId="0" fillId="3" borderId="33" xfId="0" applyNumberFormat="1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 wrapText="1"/>
    </xf>
    <xf numFmtId="0" fontId="0" fillId="0" borderId="34" xfId="0" applyFont="1" applyBorder="1" applyAlignment="1">
      <alignment horizontal="center" vertical="center" wrapText="1"/>
    </xf>
    <xf numFmtId="0" fontId="0" fillId="0" borderId="29" xfId="0" applyFont="1" applyBorder="1" applyAlignment="1">
      <alignment horizontal="center" vertical="center" wrapText="1"/>
    </xf>
    <xf numFmtId="0" fontId="0" fillId="0" borderId="2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0" fillId="0" borderId="30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Fill="1" applyBorder="1" applyAlignment="1">
      <alignment horizontal="center" vertical="top" wrapText="1"/>
    </xf>
    <xf numFmtId="0" fontId="22" fillId="9" borderId="36" xfId="0" applyFont="1" applyFill="1" applyBorder="1" applyAlignment="1">
      <alignment horizontal="center"/>
    </xf>
    <xf numFmtId="0" fontId="22" fillId="9" borderId="37" xfId="0" applyFont="1" applyFill="1" applyBorder="1" applyAlignment="1">
      <alignment horizontal="center"/>
    </xf>
    <xf numFmtId="0" fontId="22" fillId="9" borderId="38" xfId="0" applyFont="1" applyFill="1" applyBorder="1" applyAlignment="1">
      <alignment horizontal="center"/>
    </xf>
    <xf numFmtId="0" fontId="1" fillId="9" borderId="36" xfId="0" applyFont="1" applyFill="1" applyBorder="1" applyAlignment="1">
      <alignment horizontal="center"/>
    </xf>
    <xf numFmtId="0" fontId="1" fillId="9" borderId="37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41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0" fontId="1" fillId="9" borderId="45" xfId="0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14" fillId="3" borderId="0" xfId="0" applyFont="1" applyFill="1" applyBorder="1" applyAlignment="1">
      <alignment vertical="center"/>
    </xf>
    <xf numFmtId="0" fontId="23" fillId="3" borderId="0" xfId="0" applyFont="1" applyFill="1" applyAlignment="1">
      <alignment vertical="center"/>
    </xf>
  </cellXfs>
  <cellStyles count="1">
    <cellStyle name="Normalny" xfId="0" builtinId="0"/>
  </cellStyles>
  <dxfs count="0"/>
  <tableStyles count="0" defaultTableStyle="TableStyleMedium9" defaultPivotStyle="PivotStyleLight16"/>
  <colors>
    <mruColors>
      <color rgb="FFB7DE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DOW_FEI!$C$113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DOW_FEI!$C$114:$C$122</c:f>
            </c:numRef>
          </c:yVal>
          <c:smooth val="0"/>
        </c:ser>
        <c:ser>
          <c:idx val="1"/>
          <c:order val="1"/>
          <c:tx>
            <c:strRef>
              <c:f>DOW_FEI!$D$113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DOW_FEI!$D$114:$D$122</c:f>
            </c:numRef>
          </c:yVal>
          <c:smooth val="0"/>
        </c:ser>
        <c:ser>
          <c:idx val="2"/>
          <c:order val="2"/>
          <c:tx>
            <c:strRef>
              <c:f>DOW_FEI!$E$113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DOW_FEI!$E$114:$E$122</c:f>
            </c:numRef>
          </c:yVal>
          <c:smooth val="0"/>
        </c:ser>
        <c:ser>
          <c:idx val="3"/>
          <c:order val="3"/>
          <c:tx>
            <c:strRef>
              <c:f>DOW_FEI!$F$113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DOW_FEI!$F$114:$F$122</c:f>
            </c:numRef>
          </c:yVal>
          <c:smooth val="0"/>
        </c:ser>
        <c:ser>
          <c:idx val="4"/>
          <c:order val="4"/>
          <c:tx>
            <c:strRef>
              <c:f>DOW_FEI!$G$113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DOW_FEI!$G$114:$G$122</c:f>
            </c:numRef>
          </c:yVal>
          <c:smooth val="0"/>
        </c:ser>
        <c:ser>
          <c:idx val="5"/>
          <c:order val="5"/>
          <c:tx>
            <c:strRef>
              <c:f>DOW_FEI!$H$113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DOW_FEI!$H$114:$H$122</c:f>
            </c:numRef>
          </c:yVal>
          <c:smooth val="0"/>
        </c:ser>
        <c:ser>
          <c:idx val="6"/>
          <c:order val="6"/>
          <c:tx>
            <c:strRef>
              <c:f>DOW_FEI!$I$113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DOW_FEI!$I$114:$I$122</c:f>
            </c:numRef>
          </c:yVal>
          <c:smooth val="0"/>
        </c:ser>
        <c:ser>
          <c:idx val="7"/>
          <c:order val="7"/>
          <c:tx>
            <c:strRef>
              <c:f>DOW_FEI!$J$113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DOW_FEI!$B$114:$B$122</c:f>
            </c:numRef>
          </c:xVal>
          <c:yVal>
            <c:numRef>
              <c:f>DOW_FEI!$J$114:$J$122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91392"/>
        <c:axId val="189291784"/>
      </c:scatterChart>
      <c:valAx>
        <c:axId val="189291392"/>
        <c:scaling>
          <c:orientation val="minMax"/>
        </c:scaling>
        <c:delete val="0"/>
        <c:axPos val="b"/>
        <c:majorGridlines/>
        <c:minorGridlines/>
        <c:title>
          <c:overlay val="0"/>
        </c:title>
        <c:numFmt formatCode="General" sourceLinked="1"/>
        <c:majorTickMark val="out"/>
        <c:minorTickMark val="none"/>
        <c:tickLblPos val="nextTo"/>
        <c:crossAx val="189291784"/>
        <c:crosses val="autoZero"/>
        <c:crossBetween val="midCat"/>
      </c:valAx>
      <c:valAx>
        <c:axId val="189291784"/>
        <c:scaling>
          <c:orientation val="minMax"/>
          <c:max val="1"/>
          <c:min val="0"/>
        </c:scaling>
        <c:delete val="0"/>
        <c:axPos val="l"/>
        <c:majorGridlines/>
        <c:minorGridlines/>
        <c:title>
          <c:overlay val="0"/>
        </c:title>
        <c:numFmt formatCode="General" sourceLinked="1"/>
        <c:majorTickMark val="out"/>
        <c:minorTickMark val="none"/>
        <c:tickLblPos val="nextTo"/>
        <c:crossAx val="189291392"/>
        <c:crosses val="autoZero"/>
        <c:crossBetween val="midCat"/>
        <c:majorUnit val="0.2"/>
        <c:min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Radio" firstButton="1" fmlaLink="$D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CheckBox" checked="Checked" fmlaLink="$Q$15" lockText="1" noThreeD="1"/>
</file>

<file path=xl/ctrlProps/ctrlProp4.xml><?xml version="1.0" encoding="utf-8"?>
<formControlPr xmlns="http://schemas.microsoft.com/office/spreadsheetml/2009/9/main" objectType="CheckBox" checked="Checked" fmlaLink="$Q$16" lockText="1" noThreeD="1"/>
</file>

<file path=xl/ctrlProps/ctrlProp5.xml><?xml version="1.0" encoding="utf-8"?>
<formControlPr xmlns="http://schemas.microsoft.com/office/spreadsheetml/2009/9/main" objectType="CheckBox" fmlaLink="$I$44" lockText="1" noThreeD="1"/>
</file>

<file path=xl/ctrlProps/ctrlProp6.xml><?xml version="1.0" encoding="utf-8"?>
<formControlPr xmlns="http://schemas.microsoft.com/office/spreadsheetml/2009/9/main" objectType="CheckBox" checked="Checked" fmlaLink="$D$5" lockText="1" noThreeD="1"/>
</file>

<file path=xl/ctrlProps/ctrlProp7.xml><?xml version="1.0" encoding="utf-8"?>
<formControlPr xmlns="http://schemas.microsoft.com/office/spreadsheetml/2009/9/main" objectType="CheckBox" checked="Checked" fmlaLink="$H$6" lockText="1" noThreeD="1"/>
</file>

<file path=xl/ctrlProps/ctrlProp8.xml><?xml version="1.0" encoding="utf-8"?>
<formControlPr xmlns="http://schemas.microsoft.com/office/spreadsheetml/2009/9/main" objectType="CheckBox" checked="Checked" fmlaLink="$H$5" lockText="1" noThreeD="1"/>
</file>

<file path=xl/ctrlProps/ctrlProp9.xml><?xml version="1.0" encoding="utf-8"?>
<formControlPr xmlns="http://schemas.microsoft.com/office/spreadsheetml/2009/9/main" objectType="CheckBox" checked="Checked" fmlaLink="$H$7" lockText="1" noThreeD="1"/>
</file>

<file path=xl/ctrlProps/ctrlProp10.xml><?xml version="1.0" encoding="utf-8"?>
<formControlPr xmlns="http://schemas.microsoft.com/office/spreadsheetml/2009/9/main" objectType="CheckBox" checked="Checked" fmlaLink="$H$8" lockText="1" noThreeD="1"/>
</file>

<file path=xl/ctrlProps/ctrlProp11.xml><?xml version="1.0" encoding="utf-8"?>
<formControlPr xmlns="http://schemas.microsoft.com/office/spreadsheetml/2009/9/main" objectType="CheckBox" checked="Checked" fmlaLink="$H$9" lockText="1" noThreeD="1"/>
</file>

<file path=xl/ctrlProps/ctrlProp12.xml><?xml version="1.0" encoding="utf-8"?>
<formControlPr xmlns="http://schemas.microsoft.com/office/spreadsheetml/2009/9/main" objectType="CheckBox" checked="Checked" fmlaLink="$H$10" lockText="1" noThreeD="1"/>
</file>

<file path=xl/ctrlProps/ctrlProp13.xml><?xml version="1.0" encoding="utf-8"?>
<formControlPr xmlns="http://schemas.microsoft.com/office/spreadsheetml/2009/9/main" objectType="CheckBox" checked="Checked" fmlaLink="$H$11" lockText="1" noThreeD="1"/>
</file>

<file path=xl/ctrlProps/ctrlProp14.xml><?xml version="1.0" encoding="utf-8"?>
<formControlPr xmlns="http://schemas.microsoft.com/office/spreadsheetml/2009/9/main" objectType="CheckBox" checked="Checked" fmlaLink="$H$12" lockText="1" noThreeD="1"/>
</file>

<file path=xl/ctrlProps/ctrlProp15.xml><?xml version="1.0" encoding="utf-8"?>
<formControlPr xmlns="http://schemas.microsoft.com/office/spreadsheetml/2009/9/main" objectType="CheckBox" checked="Checked" fmlaLink="$H$13" lockText="1" noThreeD="1"/>
</file>

<file path=xl/ctrlProps/ctrlProp16.xml><?xml version="1.0" encoding="utf-8"?>
<formControlPr xmlns="http://schemas.microsoft.com/office/spreadsheetml/2009/9/main" objectType="CheckBox" checked="Checked" fmlaLink="$H$14" lockText="1" noThreeD="1"/>
</file>

<file path=xl/ctrlProps/ctrlProp17.xml><?xml version="1.0" encoding="utf-8"?>
<formControlPr xmlns="http://schemas.microsoft.com/office/spreadsheetml/2009/9/main" objectType="CheckBox" checked="Checked" fmlaLink="$H$15" lockText="1" noThreeD="1"/>
</file>

<file path=xl/ctrlProps/ctrlProp18.xml><?xml version="1.0" encoding="utf-8"?>
<formControlPr xmlns="http://schemas.microsoft.com/office/spreadsheetml/2009/9/main" objectType="CheckBox" checked="Checked" fmlaLink="$H$16" lockText="1" noThreeD="1"/>
</file>

<file path=xl/ctrlProps/ctrlProp19.xml><?xml version="1.0" encoding="utf-8"?>
<formControlPr xmlns="http://schemas.microsoft.com/office/spreadsheetml/2009/9/main" objectType="CheckBox" checked="Checked" fmlaLink="$D$22" lockText="1" noThreeD="1"/>
</file>

<file path=xl/ctrlProps/ctrlProp20.xml><?xml version="1.0" encoding="utf-8"?>
<formControlPr xmlns="http://schemas.microsoft.com/office/spreadsheetml/2009/9/main" objectType="CheckBox" fmlaLink="$D$31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21</xdr:row>
      <xdr:rowOff>85725</xdr:rowOff>
    </xdr:from>
    <xdr:to>
      <xdr:col>3</xdr:col>
      <xdr:colOff>381000</xdr:colOff>
      <xdr:row>21</xdr:row>
      <xdr:rowOff>85725</xdr:rowOff>
    </xdr:to>
    <xdr:cxnSp macro="">
      <xdr:nvCxnSpPr>
        <xdr:cNvPr id="5" name="Łącznik prosty 4"/>
        <xdr:cNvCxnSpPr/>
      </xdr:nvCxnSpPr>
      <xdr:spPr>
        <a:xfrm>
          <a:off x="5238750" y="4276725"/>
          <a:ext cx="285750" cy="0"/>
        </a:xfrm>
        <a:prstGeom prst="line">
          <a:avLst/>
        </a:prstGeom>
        <a:ln w="22225" cap="rnd">
          <a:headEnd type="stealt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381000</xdr:colOff>
      <xdr:row>2</xdr:row>
      <xdr:rowOff>52552</xdr:rowOff>
    </xdr:from>
    <xdr:to>
      <xdr:col>3</xdr:col>
      <xdr:colOff>381000</xdr:colOff>
      <xdr:row>21</xdr:row>
      <xdr:rowOff>76200</xdr:rowOff>
    </xdr:to>
    <xdr:cxnSp macro="">
      <xdr:nvCxnSpPr>
        <xdr:cNvPr id="7" name="Łącznik prosty 6"/>
        <xdr:cNvCxnSpPr/>
      </xdr:nvCxnSpPr>
      <xdr:spPr>
        <a:xfrm flipV="1">
          <a:off x="5524500" y="440121"/>
          <a:ext cx="0" cy="3767958"/>
        </a:xfrm>
        <a:prstGeom prst="line">
          <a:avLst/>
        </a:prstGeom>
        <a:ln w="22225" cap="rnd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390525</xdr:colOff>
      <xdr:row>2</xdr:row>
      <xdr:rowOff>57150</xdr:rowOff>
    </xdr:from>
    <xdr:to>
      <xdr:col>4</xdr:col>
      <xdr:colOff>257175</xdr:colOff>
      <xdr:row>2</xdr:row>
      <xdr:rowOff>57150</xdr:rowOff>
    </xdr:to>
    <xdr:cxnSp macro="">
      <xdr:nvCxnSpPr>
        <xdr:cNvPr id="9" name="Łącznik prosty ze strzałką 8"/>
        <xdr:cNvCxnSpPr/>
      </xdr:nvCxnSpPr>
      <xdr:spPr>
        <a:xfrm>
          <a:off x="5534025" y="447675"/>
          <a:ext cx="552450" cy="0"/>
        </a:xfrm>
        <a:prstGeom prst="straightConnector1">
          <a:avLst/>
        </a:prstGeom>
        <a:ln w="22225" cap="rnd"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180975</xdr:rowOff>
        </xdr:from>
        <xdr:to>
          <xdr:col>5</xdr:col>
          <xdr:colOff>609600</xdr:colOff>
          <xdr:row>2</xdr:row>
          <xdr:rowOff>9525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Medium z listy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</xdr:row>
          <xdr:rowOff>190500</xdr:rowOff>
        </xdr:from>
        <xdr:to>
          <xdr:col>5</xdr:col>
          <xdr:colOff>790575</xdr:colOff>
          <xdr:row>4</xdr:row>
          <xdr:rowOff>9525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Sam wprowadzam medium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358587</xdr:colOff>
      <xdr:row>122</xdr:row>
      <xdr:rowOff>134471</xdr:rowOff>
    </xdr:from>
    <xdr:to>
      <xdr:col>12</xdr:col>
      <xdr:colOff>89646</xdr:colOff>
      <xdr:row>156</xdr:row>
      <xdr:rowOff>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14</xdr:row>
          <xdr:rowOff>76200</xdr:rowOff>
        </xdr:from>
        <xdr:to>
          <xdr:col>29</xdr:col>
          <xdr:colOff>333375</xdr:colOff>
          <xdr:row>14</xdr:row>
          <xdr:rowOff>295275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Odpowiednia wentylacja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14</xdr:row>
          <xdr:rowOff>342900</xdr:rowOff>
        </xdr:from>
        <xdr:to>
          <xdr:col>17</xdr:col>
          <xdr:colOff>933450</xdr:colOff>
          <xdr:row>15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Odpowiedni dostęp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43</xdr:row>
          <xdr:rowOff>0</xdr:rowOff>
        </xdr:from>
        <xdr:to>
          <xdr:col>11</xdr:col>
          <xdr:colOff>1257300</xdr:colOff>
          <xdr:row>44</xdr:row>
          <xdr:rowOff>38100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Urządzenia rotacyjne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9525</xdr:rowOff>
        </xdr:from>
        <xdr:to>
          <xdr:col>6</xdr:col>
          <xdr:colOff>295275</xdr:colOff>
          <xdr:row>5</xdr:row>
          <xdr:rowOff>28575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Zasilanie awaryjne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5</xdr:row>
          <xdr:rowOff>0</xdr:rowOff>
        </xdr:from>
        <xdr:to>
          <xdr:col>13</xdr:col>
          <xdr:colOff>9525</xdr:colOff>
          <xdr:row>6</xdr:row>
          <xdr:rowOff>9525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Rutynowe wyłączenie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3</xdr:row>
          <xdr:rowOff>571500</xdr:rowOff>
        </xdr:from>
        <xdr:to>
          <xdr:col>13</xdr:col>
          <xdr:colOff>19050</xdr:colOff>
          <xdr:row>5</xdr:row>
          <xdr:rowOff>9525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Uruchomienie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13</xdr:col>
          <xdr:colOff>0</xdr:colOff>
          <xdr:row>7</xdr:row>
          <xdr:rowOff>28575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Normalne warunki robocze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13</xdr:col>
          <xdr:colOff>9525</xdr:colOff>
          <xdr:row>8</xdr:row>
          <xdr:rowOff>9525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Warunki robocze dławienia wydajności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9525</xdr:rowOff>
        </xdr:from>
        <xdr:to>
          <xdr:col>15</xdr:col>
          <xdr:colOff>19050</xdr:colOff>
          <xdr:row>9</xdr:row>
          <xdr:rowOff>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Warunki ruchu w pogotowie (węzeł pracuje na poworcie lub refluksie)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228600</xdr:rowOff>
        </xdr:from>
        <xdr:to>
          <xdr:col>14</xdr:col>
          <xdr:colOff>0</xdr:colOff>
          <xdr:row>9</xdr:row>
          <xdr:rowOff>209550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Warunki roboczy przy zwiększonej wydajności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9525</xdr:rowOff>
        </xdr:from>
        <xdr:to>
          <xdr:col>13</xdr:col>
          <xdr:colOff>676275</xdr:colOff>
          <xdr:row>11</xdr:row>
          <xdr:rowOff>9525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Ponowne uruchomienie wrótce po wyłączeniu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14</xdr:col>
          <xdr:colOff>0</xdr:colOff>
          <xdr:row>12</xdr:row>
          <xdr:rowOff>9525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Ponowne uruchomienie wytwórni po konserwacji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9525</xdr:rowOff>
        </xdr:from>
        <xdr:to>
          <xdr:col>16</xdr:col>
          <xdr:colOff>542925</xdr:colOff>
          <xdr:row>12</xdr:row>
          <xdr:rowOff>228600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Procedury konserwacji (zezwolenie na pracę, dekontaminacja, blokowanie, dopuszczanie układu)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295275</xdr:rowOff>
        </xdr:from>
        <xdr:to>
          <xdr:col>15</xdr:col>
          <xdr:colOff>619125</xdr:colOff>
          <xdr:row>13</xdr:row>
          <xdr:rowOff>171450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Wyłączenie awaryjne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14</xdr:row>
          <xdr:rowOff>0</xdr:rowOff>
        </xdr:from>
        <xdr:to>
          <xdr:col>15</xdr:col>
          <xdr:colOff>19050</xdr:colOff>
          <xdr:row>15</xdr:row>
          <xdr:rowOff>28575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Modyfikacje i uzupełnienie wyposażenia (orurowania węzła)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66675</xdr:rowOff>
        </xdr:from>
        <xdr:to>
          <xdr:col>14</xdr:col>
          <xdr:colOff>676275</xdr:colOff>
          <xdr:row>16</xdr:row>
          <xdr:rowOff>104775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Możliwe do przewidzenia odbiegające od normy sytuacje zakłóceń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21</xdr:row>
          <xdr:rowOff>19050</xdr:rowOff>
        </xdr:from>
        <xdr:to>
          <xdr:col>10</xdr:col>
          <xdr:colOff>590550</xdr:colOff>
          <xdr:row>22</xdr:row>
          <xdr:rowOff>47625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Blokada uniemożliwiająca nieprawidłowy przepływ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30</xdr:row>
          <xdr:rowOff>0</xdr:rowOff>
        </xdr:from>
        <xdr:to>
          <xdr:col>15</xdr:col>
          <xdr:colOff>342900</xdr:colOff>
          <xdr:row>31</xdr:row>
          <xdr:rowOff>28575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Systemy specjalne (CO2, halon, detektory dymu i płomienia, ściany / komory przeciwwybuchowe, dwuścienne zbiorniki)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B1:O329"/>
  <sheetViews>
    <sheetView showGridLines="0" showRowColHeaders="0" tabSelected="1" zoomScaleNormal="100" workbookViewId="0">
      <selection activeCell="G7" sqref="G7"/>
    </sheetView>
  </sheetViews>
  <sheetFormatPr defaultRowHeight="14.25"/>
  <cols>
    <col min="1" max="1" width="4.25" style="14" customWidth="1"/>
    <col min="2" max="2" width="28.625" style="14" customWidth="1"/>
    <col min="3" max="3" width="29.875" style="15" customWidth="1"/>
    <col min="4" max="5" width="9" style="14"/>
    <col min="6" max="6" width="18.625" style="14" customWidth="1"/>
    <col min="7" max="14" width="9" style="14"/>
    <col min="15" max="15" width="0" style="14" hidden="1" customWidth="1"/>
    <col min="16" max="16384" width="9" style="14"/>
  </cols>
  <sheetData>
    <row r="1" spans="2:15" ht="15" thickBot="1"/>
    <row r="2" spans="2:15" ht="15.95" customHeight="1" thickBot="1">
      <c r="B2" s="14" t="s">
        <v>417</v>
      </c>
      <c r="C2" s="16"/>
      <c r="D2" s="27">
        <v>2</v>
      </c>
      <c r="G2" s="54" t="s">
        <v>141</v>
      </c>
      <c r="H2" s="55"/>
      <c r="I2" s="56"/>
      <c r="O2" s="3" t="s">
        <v>89</v>
      </c>
    </row>
    <row r="3" spans="2:15" ht="15.95" customHeight="1" thickBot="1">
      <c r="O3" s="3" t="s">
        <v>90</v>
      </c>
    </row>
    <row r="4" spans="2:15" ht="15.95" customHeight="1" thickBot="1">
      <c r="B4" s="14" t="s">
        <v>418</v>
      </c>
      <c r="C4" s="16"/>
      <c r="G4" s="180"/>
      <c r="H4" s="180"/>
      <c r="I4" s="180"/>
      <c r="O4" s="3" t="s">
        <v>91</v>
      </c>
    </row>
    <row r="5" spans="2:15" ht="15.95" customHeight="1" thickBot="1">
      <c r="O5" s="3" t="s">
        <v>92</v>
      </c>
    </row>
    <row r="6" spans="2:15" ht="15.95" customHeight="1" thickBot="1">
      <c r="B6" s="14" t="s">
        <v>419</v>
      </c>
      <c r="C6" s="16"/>
      <c r="F6" s="27"/>
      <c r="G6" s="47" t="s">
        <v>439</v>
      </c>
      <c r="H6" s="47" t="s">
        <v>441</v>
      </c>
      <c r="I6" s="47" t="s">
        <v>440</v>
      </c>
      <c r="J6" s="48"/>
      <c r="O6" s="3" t="s">
        <v>93</v>
      </c>
    </row>
    <row r="7" spans="2:15" ht="15.95" customHeight="1" thickBot="1">
      <c r="F7" s="50" t="s">
        <v>658</v>
      </c>
      <c r="G7" s="181"/>
      <c r="H7" s="182">
        <f>VLOOKUP(G2,DOW_FEI!S2:AC329,6)</f>
        <v>3</v>
      </c>
      <c r="I7" s="27">
        <f>G7</f>
        <v>0</v>
      </c>
      <c r="J7" s="48"/>
      <c r="O7" s="3" t="s">
        <v>94</v>
      </c>
    </row>
    <row r="8" spans="2:15" ht="15.95" customHeight="1" thickBot="1">
      <c r="B8" s="14" t="s">
        <v>420</v>
      </c>
      <c r="C8" s="16"/>
      <c r="F8" s="50" t="s">
        <v>659</v>
      </c>
      <c r="G8" s="181"/>
      <c r="H8" s="182">
        <f>VLOOKUP(G2,DOW_FEI!S2:AC329,5)</f>
        <v>1</v>
      </c>
      <c r="I8" s="27">
        <f t="shared" ref="I8:I13" si="0">G8</f>
        <v>0</v>
      </c>
      <c r="J8" s="48"/>
      <c r="O8" s="3" t="s">
        <v>95</v>
      </c>
    </row>
    <row r="9" spans="2:15" ht="15.95" customHeight="1" thickBot="1">
      <c r="F9" s="50" t="s">
        <v>660</v>
      </c>
      <c r="G9" s="181"/>
      <c r="H9" s="182">
        <f>VLOOKUP(G2,DOW_FEI!S2:AC329,7)</f>
        <v>3</v>
      </c>
      <c r="I9" s="27">
        <f t="shared" si="0"/>
        <v>0</v>
      </c>
      <c r="J9" s="48"/>
      <c r="O9" s="3" t="s">
        <v>97</v>
      </c>
    </row>
    <row r="10" spans="2:15" ht="15.95" customHeight="1" thickBot="1">
      <c r="B10" s="14" t="s">
        <v>421</v>
      </c>
      <c r="C10" s="16"/>
      <c r="F10" s="50" t="s">
        <v>436</v>
      </c>
      <c r="G10" s="181"/>
      <c r="H10" s="182">
        <f>VLOOKUP(G2,DOW_FEI!S2:AC329,11)</f>
        <v>136.11111111111111</v>
      </c>
      <c r="I10" s="27">
        <f t="shared" si="0"/>
        <v>0</v>
      </c>
      <c r="J10" s="48"/>
      <c r="L10" s="182"/>
      <c r="O10" s="3" t="s">
        <v>98</v>
      </c>
    </row>
    <row r="11" spans="2:15" ht="15.95" customHeight="1" thickBot="1">
      <c r="F11" s="50" t="s">
        <v>437</v>
      </c>
      <c r="G11" s="181"/>
      <c r="H11" s="182">
        <f>VLOOKUP(G2,DOW_FEI!S2:AC329,9)</f>
        <v>36.111111111111114</v>
      </c>
      <c r="I11" s="27">
        <f t="shared" si="0"/>
        <v>0</v>
      </c>
      <c r="J11" s="48"/>
      <c r="O11" s="3" t="s">
        <v>99</v>
      </c>
    </row>
    <row r="12" spans="2:15" ht="15.95" customHeight="1" thickBot="1">
      <c r="B12" s="14" t="s">
        <v>422</v>
      </c>
      <c r="C12" s="16"/>
      <c r="F12" s="50" t="s">
        <v>80</v>
      </c>
      <c r="G12" s="181"/>
      <c r="H12" s="182">
        <f>VLOOKUP(G2,DOW_FEI!S2:AC329,2)</f>
        <v>29</v>
      </c>
      <c r="I12" s="27">
        <f t="shared" si="0"/>
        <v>0</v>
      </c>
      <c r="J12" s="48"/>
      <c r="O12" s="3" t="s">
        <v>100</v>
      </c>
    </row>
    <row r="13" spans="2:15" ht="15.95" customHeight="1" thickBot="1">
      <c r="F13" s="50" t="s">
        <v>438</v>
      </c>
      <c r="G13" s="181"/>
      <c r="H13" s="182">
        <f>VLOOKUP(G2,DOW_FEI!S2:AC329,4)</f>
        <v>25818.6</v>
      </c>
      <c r="I13" s="27">
        <f t="shared" si="0"/>
        <v>0</v>
      </c>
      <c r="J13" s="48"/>
      <c r="O13" s="3" t="s">
        <v>96</v>
      </c>
    </row>
    <row r="14" spans="2:15" ht="15.95" customHeight="1" thickBot="1">
      <c r="B14" s="14" t="s">
        <v>423</v>
      </c>
      <c r="C14" s="16"/>
      <c r="F14" s="48"/>
      <c r="G14" s="48"/>
      <c r="H14" s="48"/>
      <c r="I14" s="48"/>
      <c r="J14" s="48"/>
      <c r="O14" s="3" t="s">
        <v>101</v>
      </c>
    </row>
    <row r="15" spans="2:15" ht="15.95" customHeight="1" thickBot="1">
      <c r="F15" s="48"/>
      <c r="G15" s="48"/>
      <c r="H15" s="48"/>
      <c r="I15" s="48"/>
      <c r="J15" s="48"/>
      <c r="O15" s="3" t="s">
        <v>102</v>
      </c>
    </row>
    <row r="16" spans="2:15" ht="15.95" customHeight="1" thickBot="1">
      <c r="B16" s="14" t="s">
        <v>424</v>
      </c>
      <c r="C16" s="16"/>
      <c r="F16" s="48"/>
      <c r="G16" s="48"/>
      <c r="H16" s="48"/>
      <c r="I16" s="48"/>
      <c r="J16" s="48"/>
      <c r="O16" s="3" t="s">
        <v>103</v>
      </c>
    </row>
    <row r="17" spans="2:15" ht="15.95" customHeight="1" thickBot="1">
      <c r="F17" s="60" t="s">
        <v>442</v>
      </c>
      <c r="G17" s="61"/>
      <c r="H17" s="62"/>
      <c r="O17" s="3" t="s">
        <v>104</v>
      </c>
    </row>
    <row r="18" spans="2:15" ht="15.95" customHeight="1" thickBot="1">
      <c r="B18" s="14" t="s">
        <v>425</v>
      </c>
      <c r="C18" s="16"/>
      <c r="F18" s="22"/>
      <c r="G18" s="21" t="s">
        <v>434</v>
      </c>
      <c r="H18" s="23" t="s">
        <v>435</v>
      </c>
      <c r="O18" s="3" t="s">
        <v>105</v>
      </c>
    </row>
    <row r="19" spans="2:15" ht="15.95" customHeight="1" thickBot="1">
      <c r="F19" s="22" t="s">
        <v>443</v>
      </c>
      <c r="G19" s="21">
        <f>I7</f>
        <v>0</v>
      </c>
      <c r="H19" s="23">
        <f>I9</f>
        <v>0</v>
      </c>
      <c r="O19" s="3" t="s">
        <v>107</v>
      </c>
    </row>
    <row r="20" spans="2:15" ht="15.95" customHeight="1" thickBot="1">
      <c r="B20" s="14" t="s">
        <v>426</v>
      </c>
      <c r="C20" s="16"/>
      <c r="F20" s="22" t="str">
        <f>IF(C32="","",IF(C32&lt;60,"temp. &lt; 60 C","temp. &gt; 60 C"))</f>
        <v/>
      </c>
      <c r="G20" s="21" t="str">
        <f>IF(F20="temp. &gt; 60 C",1,IF(C32&gt;I11,1,""))</f>
        <v/>
      </c>
      <c r="H20" s="23"/>
      <c r="O20" s="3" t="s">
        <v>108</v>
      </c>
    </row>
    <row r="21" spans="2:15" ht="15.95" customHeight="1" thickBot="1">
      <c r="F21" s="22" t="str">
        <f>IF(C32="","",IF(C32&gt;I11,"temp. &gt; samozap",""))</f>
        <v/>
      </c>
      <c r="G21" s="21"/>
      <c r="H21" s="23" t="str">
        <f>IF(F21="temp. &gt; samozap",1,"")</f>
        <v/>
      </c>
      <c r="O21" s="3" t="s">
        <v>109</v>
      </c>
    </row>
    <row r="22" spans="2:15" ht="15.95" customHeight="1" thickBot="1">
      <c r="B22" s="14" t="s">
        <v>427</v>
      </c>
      <c r="C22" s="51">
        <f>IF(D2=1,G2,G4)</f>
        <v>0</v>
      </c>
      <c r="F22" s="22" t="s">
        <v>445</v>
      </c>
      <c r="G22" s="25">
        <f>IF(SUM(G19:G21)&gt;4,4,SUM(G19:G21))</f>
        <v>0</v>
      </c>
      <c r="H22" s="26">
        <f>IF(SUM(H19:H21)&gt;4,4,SUM(H19:H21))</f>
        <v>0</v>
      </c>
      <c r="O22" s="3" t="s">
        <v>106</v>
      </c>
    </row>
    <row r="23" spans="2:15" ht="15.95" customHeight="1" thickBot="1">
      <c r="F23" s="24" t="s">
        <v>446</v>
      </c>
      <c r="G23" s="58">
        <f>IF(F54="","",F54)</f>
        <v>1</v>
      </c>
      <c r="H23" s="59"/>
      <c r="O23" s="3" t="s">
        <v>110</v>
      </c>
    </row>
    <row r="24" spans="2:15" ht="15" thickBot="1">
      <c r="B24" s="14" t="s">
        <v>428</v>
      </c>
      <c r="C24" s="16"/>
      <c r="D24" s="27" t="str">
        <f>IF(C24="","",C24*0.453592)</f>
        <v/>
      </c>
      <c r="E24" s="27" t="s">
        <v>433</v>
      </c>
      <c r="O24" s="3" t="s">
        <v>111</v>
      </c>
    </row>
    <row r="25" spans="2:15" ht="15" thickBot="1">
      <c r="D25" s="27"/>
      <c r="E25" s="27"/>
      <c r="O25" s="3" t="s">
        <v>112</v>
      </c>
    </row>
    <row r="26" spans="2:15" ht="17.25" thickBot="1">
      <c r="B26" s="14" t="s">
        <v>431</v>
      </c>
      <c r="C26" s="16"/>
      <c r="D26" s="27"/>
      <c r="E26" s="50"/>
      <c r="F26" s="50"/>
      <c r="G26" s="50"/>
      <c r="H26" s="50"/>
      <c r="I26" s="50"/>
      <c r="J26" s="50"/>
      <c r="K26" s="50"/>
      <c r="L26" s="50"/>
      <c r="O26" s="3" t="s">
        <v>113</v>
      </c>
    </row>
    <row r="27" spans="2:15" ht="15" thickBot="1">
      <c r="D27" s="27"/>
      <c r="E27" s="50"/>
      <c r="F27" s="50"/>
      <c r="G27" s="50"/>
      <c r="H27" s="50"/>
      <c r="I27" s="50"/>
      <c r="J27" s="50"/>
      <c r="K27" s="50"/>
      <c r="L27" s="50"/>
      <c r="O27" s="3" t="s">
        <v>114</v>
      </c>
    </row>
    <row r="28" spans="2:15" ht="15" thickBot="1">
      <c r="B28" s="14" t="s">
        <v>429</v>
      </c>
      <c r="C28" s="16"/>
      <c r="D28" s="27" t="str">
        <f>IF(C28="","",C28*0.145038)</f>
        <v/>
      </c>
      <c r="E28" s="27" t="s">
        <v>432</v>
      </c>
      <c r="F28" s="50"/>
      <c r="G28" s="50"/>
      <c r="H28" s="50"/>
      <c r="I28" s="50"/>
      <c r="J28" s="50"/>
      <c r="K28" s="50"/>
      <c r="L28" s="50"/>
      <c r="O28" s="3" t="s">
        <v>115</v>
      </c>
    </row>
    <row r="29" spans="2:15" ht="15" thickBot="1">
      <c r="D29" s="27"/>
      <c r="E29" s="27"/>
      <c r="F29" s="50"/>
      <c r="G29" s="50"/>
      <c r="H29" s="50"/>
      <c r="I29" s="50"/>
      <c r="J29" s="50"/>
      <c r="K29" s="50"/>
      <c r="L29" s="50"/>
      <c r="O29" s="3" t="s">
        <v>116</v>
      </c>
    </row>
    <row r="30" spans="2:15" ht="15" thickBot="1">
      <c r="B30" s="14" t="s">
        <v>430</v>
      </c>
      <c r="C30" s="16"/>
      <c r="D30" s="27" t="str">
        <f t="shared" ref="D30" si="1">IF(C30="","",C30*0.145038)</f>
        <v/>
      </c>
      <c r="E30" s="27" t="s">
        <v>432</v>
      </c>
      <c r="F30" s="50"/>
      <c r="G30" s="50"/>
      <c r="H30" s="50"/>
      <c r="I30" s="50"/>
      <c r="J30" s="50"/>
      <c r="K30" s="50"/>
      <c r="L30" s="50"/>
      <c r="O30" s="3" t="s">
        <v>117</v>
      </c>
    </row>
    <row r="31" spans="2:15" ht="15" thickBot="1">
      <c r="D31" s="27"/>
      <c r="E31" s="50"/>
      <c r="F31" s="50"/>
      <c r="G31" s="50"/>
      <c r="H31" s="50"/>
      <c r="I31" s="50"/>
      <c r="J31" s="50"/>
      <c r="K31" s="50"/>
      <c r="L31" s="50"/>
      <c r="O31" s="3" t="s">
        <v>118</v>
      </c>
    </row>
    <row r="32" spans="2:15" ht="15" thickBot="1">
      <c r="B32" s="14" t="s">
        <v>444</v>
      </c>
      <c r="C32" s="16"/>
      <c r="E32" s="50"/>
      <c r="F32" s="50"/>
      <c r="G32" s="50"/>
      <c r="H32" s="50"/>
      <c r="I32" s="50"/>
      <c r="J32" s="50"/>
      <c r="K32" s="50"/>
      <c r="L32" s="50"/>
      <c r="O32" s="3" t="s">
        <v>119</v>
      </c>
    </row>
    <row r="33" spans="4:15">
      <c r="E33" s="50"/>
      <c r="F33" s="50"/>
      <c r="G33" s="50"/>
      <c r="H33" s="50"/>
      <c r="I33" s="50"/>
      <c r="J33" s="50"/>
      <c r="K33" s="50"/>
      <c r="L33" s="50"/>
      <c r="O33" s="3" t="s">
        <v>120</v>
      </c>
    </row>
    <row r="34" spans="4:15">
      <c r="E34" s="50"/>
      <c r="F34" s="50"/>
      <c r="G34" s="50"/>
      <c r="H34" s="50"/>
      <c r="I34" s="50"/>
      <c r="J34" s="50"/>
      <c r="K34" s="50"/>
      <c r="L34" s="50"/>
      <c r="O34" s="3" t="s">
        <v>121</v>
      </c>
    </row>
    <row r="35" spans="4:15">
      <c r="E35" s="50"/>
      <c r="F35" s="50"/>
      <c r="G35" s="50"/>
      <c r="H35" s="50"/>
      <c r="I35" s="50"/>
      <c r="J35" s="50"/>
      <c r="K35" s="50"/>
      <c r="L35" s="50"/>
      <c r="O35" s="3" t="s">
        <v>122</v>
      </c>
    </row>
    <row r="36" spans="4:15">
      <c r="E36" s="50"/>
      <c r="F36" s="50"/>
      <c r="G36" s="50"/>
      <c r="H36" s="50"/>
      <c r="I36" s="50"/>
      <c r="J36" s="50"/>
      <c r="K36" s="50"/>
      <c r="L36" s="50"/>
      <c r="O36" s="3" t="s">
        <v>123</v>
      </c>
    </row>
    <row r="37" spans="4:15">
      <c r="D37" s="27"/>
      <c r="E37" s="27"/>
      <c r="F37" s="27"/>
      <c r="G37" s="27"/>
      <c r="H37" s="27"/>
      <c r="I37" s="27"/>
      <c r="J37" s="27"/>
      <c r="K37" s="27"/>
      <c r="L37" s="50"/>
      <c r="O37" s="3" t="s">
        <v>124</v>
      </c>
    </row>
    <row r="38" spans="4:15">
      <c r="D38" s="27"/>
      <c r="E38" s="27"/>
      <c r="F38" s="27"/>
      <c r="G38" s="27"/>
      <c r="H38" s="27"/>
      <c r="I38" s="27"/>
      <c r="J38" s="27"/>
      <c r="K38" s="27"/>
      <c r="L38" s="50"/>
      <c r="O38" s="3" t="s">
        <v>125</v>
      </c>
    </row>
    <row r="39" spans="4:15">
      <c r="D39" s="27"/>
      <c r="E39" s="27"/>
      <c r="F39" s="27"/>
      <c r="G39" s="27"/>
      <c r="H39" s="27"/>
      <c r="I39" s="27"/>
      <c r="J39" s="27"/>
      <c r="K39" s="27"/>
      <c r="L39" s="50"/>
      <c r="O39" s="3" t="s">
        <v>126</v>
      </c>
    </row>
    <row r="40" spans="4:15">
      <c r="D40" s="27"/>
      <c r="E40" s="27"/>
      <c r="F40" s="27"/>
      <c r="G40" s="27"/>
      <c r="H40" s="27"/>
      <c r="I40" s="27"/>
      <c r="J40" s="27"/>
      <c r="K40" s="27"/>
      <c r="L40" s="50"/>
      <c r="O40" s="3" t="s">
        <v>127</v>
      </c>
    </row>
    <row r="41" spans="4:15">
      <c r="D41" s="27"/>
      <c r="E41" s="27"/>
      <c r="F41" s="27"/>
      <c r="G41" s="27">
        <v>1</v>
      </c>
      <c r="H41" s="27">
        <v>2</v>
      </c>
      <c r="I41" s="27">
        <v>3</v>
      </c>
      <c r="J41" s="27">
        <v>4</v>
      </c>
      <c r="K41" s="27">
        <v>5</v>
      </c>
      <c r="L41" s="50"/>
      <c r="O41" s="3" t="s">
        <v>128</v>
      </c>
    </row>
    <row r="42" spans="4:15">
      <c r="D42" s="27"/>
      <c r="E42" s="27"/>
      <c r="F42" s="27"/>
      <c r="G42" s="27" t="s">
        <v>447</v>
      </c>
      <c r="H42" s="27"/>
      <c r="I42" s="27"/>
      <c r="J42" s="27"/>
      <c r="K42" s="27"/>
      <c r="L42" s="50"/>
      <c r="O42" s="3" t="s">
        <v>129</v>
      </c>
    </row>
    <row r="43" spans="4:15">
      <c r="D43" s="27"/>
      <c r="E43" s="27"/>
      <c r="F43" s="49" t="s">
        <v>84</v>
      </c>
      <c r="G43" s="57" t="s">
        <v>11</v>
      </c>
      <c r="H43" s="57"/>
      <c r="I43" s="57"/>
      <c r="J43" s="57"/>
      <c r="K43" s="57"/>
      <c r="L43" s="50"/>
      <c r="O43" s="3" t="s">
        <v>130</v>
      </c>
    </row>
    <row r="44" spans="4:15">
      <c r="D44" s="27"/>
      <c r="E44" s="27"/>
      <c r="F44" s="27"/>
      <c r="G44" s="27">
        <v>0</v>
      </c>
      <c r="H44" s="27">
        <v>1</v>
      </c>
      <c r="I44" s="27">
        <v>2</v>
      </c>
      <c r="J44" s="27">
        <v>3</v>
      </c>
      <c r="K44" s="27">
        <v>4</v>
      </c>
      <c r="L44" s="50"/>
      <c r="O44" s="3" t="s">
        <v>131</v>
      </c>
    </row>
    <row r="45" spans="4:15">
      <c r="D45" s="27"/>
      <c r="E45" s="27">
        <v>1</v>
      </c>
      <c r="F45" s="27">
        <v>0</v>
      </c>
      <c r="G45" s="27">
        <v>1</v>
      </c>
      <c r="H45" s="27">
        <v>14</v>
      </c>
      <c r="I45" s="27">
        <v>24</v>
      </c>
      <c r="J45" s="27">
        <v>29</v>
      </c>
      <c r="K45" s="27">
        <v>40</v>
      </c>
      <c r="L45" s="50"/>
      <c r="O45" s="3" t="s">
        <v>138</v>
      </c>
    </row>
    <row r="46" spans="4:15">
      <c r="D46" s="27"/>
      <c r="E46" s="27">
        <v>2</v>
      </c>
      <c r="F46" s="27">
        <v>1</v>
      </c>
      <c r="G46" s="27">
        <v>4</v>
      </c>
      <c r="H46" s="27">
        <v>14</v>
      </c>
      <c r="I46" s="27">
        <v>24</v>
      </c>
      <c r="J46" s="27">
        <v>29</v>
      </c>
      <c r="K46" s="27">
        <v>40</v>
      </c>
      <c r="L46" s="50"/>
      <c r="O46" s="3" t="s">
        <v>132</v>
      </c>
    </row>
    <row r="47" spans="4:15">
      <c r="D47" s="27"/>
      <c r="E47" s="27">
        <v>3</v>
      </c>
      <c r="F47" s="27">
        <v>2</v>
      </c>
      <c r="G47" s="27">
        <v>10</v>
      </c>
      <c r="H47" s="27">
        <v>14</v>
      </c>
      <c r="I47" s="27">
        <v>24</v>
      </c>
      <c r="J47" s="27">
        <v>29</v>
      </c>
      <c r="K47" s="27">
        <v>40</v>
      </c>
      <c r="L47" s="50"/>
      <c r="O47" s="3" t="s">
        <v>140</v>
      </c>
    </row>
    <row r="48" spans="4:15">
      <c r="D48" s="27"/>
      <c r="E48" s="27">
        <v>4</v>
      </c>
      <c r="F48" s="27">
        <v>3</v>
      </c>
      <c r="G48" s="27">
        <v>16</v>
      </c>
      <c r="H48" s="27">
        <v>16</v>
      </c>
      <c r="I48" s="27">
        <v>24</v>
      </c>
      <c r="J48" s="27">
        <v>29</v>
      </c>
      <c r="K48" s="27">
        <v>40</v>
      </c>
      <c r="L48" s="50"/>
      <c r="O48" s="3" t="s">
        <v>142</v>
      </c>
    </row>
    <row r="49" spans="4:15">
      <c r="D49" s="27"/>
      <c r="E49" s="27">
        <v>5</v>
      </c>
      <c r="F49" s="27">
        <v>4</v>
      </c>
      <c r="G49" s="27">
        <v>21</v>
      </c>
      <c r="H49" s="27">
        <v>21</v>
      </c>
      <c r="I49" s="27">
        <v>24</v>
      </c>
      <c r="J49" s="27">
        <v>29</v>
      </c>
      <c r="K49" s="27">
        <v>40</v>
      </c>
      <c r="L49" s="50"/>
      <c r="O49" s="3" t="s">
        <v>143</v>
      </c>
    </row>
    <row r="50" spans="4:15">
      <c r="D50" s="27"/>
      <c r="E50" s="27"/>
      <c r="F50" s="27"/>
      <c r="G50" s="27"/>
      <c r="H50" s="27"/>
      <c r="I50" s="27"/>
      <c r="J50" s="27"/>
      <c r="K50" s="27"/>
      <c r="L50" s="50"/>
      <c r="O50" s="3" t="s">
        <v>144</v>
      </c>
    </row>
    <row r="51" spans="4:15">
      <c r="D51" s="27"/>
      <c r="E51" s="27"/>
      <c r="F51" s="27"/>
      <c r="G51" s="27"/>
      <c r="H51" s="27"/>
      <c r="I51" s="27"/>
      <c r="J51" s="27"/>
      <c r="K51" s="27"/>
      <c r="L51" s="50"/>
      <c r="O51" s="3" t="s">
        <v>133</v>
      </c>
    </row>
    <row r="52" spans="4:15">
      <c r="D52" s="27"/>
      <c r="E52" s="27" t="s">
        <v>84</v>
      </c>
      <c r="F52" s="27">
        <f>MATCH(G22,F45:F49)</f>
        <v>1</v>
      </c>
      <c r="G52" s="27"/>
      <c r="H52" s="27"/>
      <c r="I52" s="27"/>
      <c r="J52" s="27"/>
      <c r="K52" s="27"/>
      <c r="L52" s="50"/>
      <c r="O52" s="3" t="s">
        <v>134</v>
      </c>
    </row>
    <row r="53" spans="4:15">
      <c r="D53" s="27"/>
      <c r="E53" s="27" t="s">
        <v>11</v>
      </c>
      <c r="F53" s="27">
        <f>MATCH(H22,G44:K44)</f>
        <v>1</v>
      </c>
      <c r="G53" s="27"/>
      <c r="H53" s="27"/>
      <c r="I53" s="27"/>
      <c r="J53" s="27"/>
      <c r="K53" s="27"/>
      <c r="L53" s="50"/>
      <c r="O53" s="3" t="s">
        <v>136</v>
      </c>
    </row>
    <row r="54" spans="4:15">
      <c r="D54" s="27"/>
      <c r="E54" s="27"/>
      <c r="F54" s="27">
        <f>VLOOKUP(G22,F45:K49,F53+1)</f>
        <v>1</v>
      </c>
      <c r="G54" s="27"/>
      <c r="H54" s="27"/>
      <c r="I54" s="27"/>
      <c r="J54" s="27"/>
      <c r="K54" s="27"/>
      <c r="L54" s="50"/>
      <c r="O54" s="3" t="s">
        <v>137</v>
      </c>
    </row>
    <row r="55" spans="4:15">
      <c r="D55" s="27"/>
      <c r="E55" s="27"/>
      <c r="F55" s="27"/>
      <c r="G55" s="27"/>
      <c r="H55" s="27"/>
      <c r="I55" s="27"/>
      <c r="J55" s="27"/>
      <c r="K55" s="27"/>
      <c r="L55" s="50"/>
      <c r="O55" s="3" t="s">
        <v>139</v>
      </c>
    </row>
    <row r="56" spans="4:15">
      <c r="E56" s="50"/>
      <c r="F56" s="50"/>
      <c r="G56" s="50"/>
      <c r="H56" s="50"/>
      <c r="I56" s="50"/>
      <c r="J56" s="50"/>
      <c r="K56" s="50"/>
      <c r="L56" s="50"/>
      <c r="O56" s="3" t="s">
        <v>141</v>
      </c>
    </row>
    <row r="57" spans="4:15">
      <c r="E57" s="50"/>
      <c r="F57" s="50"/>
      <c r="G57" s="50"/>
      <c r="H57" s="50"/>
      <c r="I57" s="50"/>
      <c r="J57" s="50"/>
      <c r="K57" s="50"/>
      <c r="L57" s="50"/>
      <c r="O57" s="3" t="s">
        <v>135</v>
      </c>
    </row>
    <row r="58" spans="4:15">
      <c r="E58" s="50"/>
      <c r="F58" s="50"/>
      <c r="G58" s="50"/>
      <c r="H58" s="50"/>
      <c r="I58" s="50"/>
      <c r="J58" s="50"/>
      <c r="K58" s="50"/>
      <c r="L58" s="50"/>
      <c r="O58" s="3" t="s">
        <v>145</v>
      </c>
    </row>
    <row r="59" spans="4:15">
      <c r="E59" s="50"/>
      <c r="F59" s="50"/>
      <c r="G59" s="50"/>
      <c r="H59" s="50"/>
      <c r="I59" s="50"/>
      <c r="J59" s="50"/>
      <c r="K59" s="50"/>
      <c r="L59" s="50"/>
      <c r="O59" s="3" t="s">
        <v>146</v>
      </c>
    </row>
    <row r="60" spans="4:15">
      <c r="E60" s="50"/>
      <c r="F60" s="50"/>
      <c r="G60" s="50"/>
      <c r="H60" s="50"/>
      <c r="I60" s="50"/>
      <c r="J60" s="50"/>
      <c r="K60" s="50"/>
      <c r="L60" s="50"/>
      <c r="O60" s="3" t="s">
        <v>147</v>
      </c>
    </row>
    <row r="61" spans="4:15">
      <c r="O61" s="3" t="s">
        <v>148</v>
      </c>
    </row>
    <row r="62" spans="4:15">
      <c r="O62" s="3" t="s">
        <v>151</v>
      </c>
    </row>
    <row r="63" spans="4:15">
      <c r="O63" s="3" t="s">
        <v>149</v>
      </c>
    </row>
    <row r="64" spans="4:15">
      <c r="O64" s="3" t="s">
        <v>150</v>
      </c>
    </row>
    <row r="65" spans="15:15">
      <c r="O65" s="3" t="s">
        <v>154</v>
      </c>
    </row>
    <row r="66" spans="15:15">
      <c r="O66" s="3" t="s">
        <v>155</v>
      </c>
    </row>
    <row r="67" spans="15:15">
      <c r="O67" s="3" t="s">
        <v>152</v>
      </c>
    </row>
    <row r="68" spans="15:15">
      <c r="O68" s="3" t="s">
        <v>153</v>
      </c>
    </row>
    <row r="69" spans="15:15">
      <c r="O69" s="3" t="s">
        <v>156</v>
      </c>
    </row>
    <row r="70" spans="15:15">
      <c r="O70" s="3" t="s">
        <v>157</v>
      </c>
    </row>
    <row r="71" spans="15:15">
      <c r="O71" s="3" t="s">
        <v>158</v>
      </c>
    </row>
    <row r="72" spans="15:15">
      <c r="O72" s="3" t="s">
        <v>159</v>
      </c>
    </row>
    <row r="73" spans="15:15">
      <c r="O73" s="3" t="s">
        <v>160</v>
      </c>
    </row>
    <row r="74" spans="15:15">
      <c r="O74" s="3" t="s">
        <v>161</v>
      </c>
    </row>
    <row r="75" spans="15:15">
      <c r="O75" s="3" t="s">
        <v>162</v>
      </c>
    </row>
    <row r="76" spans="15:15">
      <c r="O76" s="3" t="s">
        <v>163</v>
      </c>
    </row>
    <row r="77" spans="15:15">
      <c r="O77" s="3" t="s">
        <v>164</v>
      </c>
    </row>
    <row r="78" spans="15:15">
      <c r="O78" s="3" t="s">
        <v>165</v>
      </c>
    </row>
    <row r="79" spans="15:15">
      <c r="O79" s="3" t="s">
        <v>166</v>
      </c>
    </row>
    <row r="80" spans="15:15">
      <c r="O80" s="3" t="s">
        <v>167</v>
      </c>
    </row>
    <row r="81" spans="15:15">
      <c r="O81" s="3" t="s">
        <v>168</v>
      </c>
    </row>
    <row r="82" spans="15:15">
      <c r="O82" s="3" t="s">
        <v>173</v>
      </c>
    </row>
    <row r="83" spans="15:15">
      <c r="O83" s="3" t="s">
        <v>169</v>
      </c>
    </row>
    <row r="84" spans="15:15">
      <c r="O84" s="3" t="s">
        <v>171</v>
      </c>
    </row>
    <row r="85" spans="15:15">
      <c r="O85" s="3" t="s">
        <v>172</v>
      </c>
    </row>
    <row r="86" spans="15:15">
      <c r="O86" s="3" t="s">
        <v>174</v>
      </c>
    </row>
    <row r="87" spans="15:15">
      <c r="O87" s="3" t="s">
        <v>170</v>
      </c>
    </row>
    <row r="88" spans="15:15">
      <c r="O88" s="3" t="s">
        <v>175</v>
      </c>
    </row>
    <row r="89" spans="15:15">
      <c r="O89" s="3" t="s">
        <v>176</v>
      </c>
    </row>
    <row r="90" spans="15:15">
      <c r="O90" s="3" t="s">
        <v>177</v>
      </c>
    </row>
    <row r="91" spans="15:15">
      <c r="O91" s="3" t="s">
        <v>179</v>
      </c>
    </row>
    <row r="92" spans="15:15">
      <c r="O92" s="3" t="s">
        <v>180</v>
      </c>
    </row>
    <row r="93" spans="15:15">
      <c r="O93" s="3" t="s">
        <v>182</v>
      </c>
    </row>
    <row r="94" spans="15:15">
      <c r="O94" s="3" t="s">
        <v>183</v>
      </c>
    </row>
    <row r="95" spans="15:15">
      <c r="O95" s="3" t="s">
        <v>414</v>
      </c>
    </row>
    <row r="96" spans="15:15">
      <c r="O96" s="3" t="s">
        <v>181</v>
      </c>
    </row>
    <row r="97" spans="15:15">
      <c r="O97" s="3" t="s">
        <v>178</v>
      </c>
    </row>
    <row r="98" spans="15:15">
      <c r="O98" s="3" t="s">
        <v>184</v>
      </c>
    </row>
    <row r="99" spans="15:15">
      <c r="O99" s="3" t="s">
        <v>185</v>
      </c>
    </row>
    <row r="100" spans="15:15">
      <c r="O100" s="3" t="s">
        <v>187</v>
      </c>
    </row>
    <row r="101" spans="15:15">
      <c r="O101" s="3" t="s">
        <v>186</v>
      </c>
    </row>
    <row r="102" spans="15:15">
      <c r="O102" s="3" t="s">
        <v>189</v>
      </c>
    </row>
    <row r="103" spans="15:15">
      <c r="O103" s="3" t="s">
        <v>188</v>
      </c>
    </row>
    <row r="104" spans="15:15">
      <c r="O104" s="3" t="s">
        <v>190</v>
      </c>
    </row>
    <row r="105" spans="15:15">
      <c r="O105" s="3" t="s">
        <v>191</v>
      </c>
    </row>
    <row r="106" spans="15:15">
      <c r="O106" s="3" t="s">
        <v>192</v>
      </c>
    </row>
    <row r="107" spans="15:15">
      <c r="O107" s="3" t="s">
        <v>193</v>
      </c>
    </row>
    <row r="108" spans="15:15">
      <c r="O108" s="3" t="s">
        <v>194</v>
      </c>
    </row>
    <row r="109" spans="15:15">
      <c r="O109" s="3" t="s">
        <v>195</v>
      </c>
    </row>
    <row r="110" spans="15:15">
      <c r="O110" s="3" t="s">
        <v>197</v>
      </c>
    </row>
    <row r="111" spans="15:15">
      <c r="O111" s="3" t="s">
        <v>196</v>
      </c>
    </row>
    <row r="112" spans="15:15">
      <c r="O112" s="3" t="s">
        <v>198</v>
      </c>
    </row>
    <row r="113" spans="15:15">
      <c r="O113" s="3" t="s">
        <v>199</v>
      </c>
    </row>
    <row r="114" spans="15:15">
      <c r="O114" s="3" t="s">
        <v>200</v>
      </c>
    </row>
    <row r="115" spans="15:15">
      <c r="O115" s="3" t="s">
        <v>201</v>
      </c>
    </row>
    <row r="116" spans="15:15">
      <c r="O116" s="3" t="s">
        <v>204</v>
      </c>
    </row>
    <row r="117" spans="15:15">
      <c r="O117" s="3" t="s">
        <v>205</v>
      </c>
    </row>
    <row r="118" spans="15:15">
      <c r="O118" s="3" t="s">
        <v>206</v>
      </c>
    </row>
    <row r="119" spans="15:15">
      <c r="O119" s="3" t="s">
        <v>203</v>
      </c>
    </row>
    <row r="120" spans="15:15">
      <c r="O120" s="3" t="s">
        <v>202</v>
      </c>
    </row>
    <row r="121" spans="15:15">
      <c r="O121" s="3" t="s">
        <v>207</v>
      </c>
    </row>
    <row r="122" spans="15:15">
      <c r="O122" s="3" t="s">
        <v>208</v>
      </c>
    </row>
    <row r="123" spans="15:15">
      <c r="O123" s="3" t="s">
        <v>209</v>
      </c>
    </row>
    <row r="124" spans="15:15">
      <c r="O124" s="3" t="s">
        <v>210</v>
      </c>
    </row>
    <row r="125" spans="15:15">
      <c r="O125" s="3" t="s">
        <v>211</v>
      </c>
    </row>
    <row r="126" spans="15:15">
      <c r="O126" s="3" t="s">
        <v>212</v>
      </c>
    </row>
    <row r="127" spans="15:15">
      <c r="O127" s="3" t="s">
        <v>213</v>
      </c>
    </row>
    <row r="128" spans="15:15">
      <c r="O128" s="3" t="s">
        <v>214</v>
      </c>
    </row>
    <row r="129" spans="15:15">
      <c r="O129" s="3" t="s">
        <v>215</v>
      </c>
    </row>
    <row r="130" spans="15:15">
      <c r="O130" s="3" t="s">
        <v>216</v>
      </c>
    </row>
    <row r="131" spans="15:15">
      <c r="O131" s="3" t="s">
        <v>217</v>
      </c>
    </row>
    <row r="132" spans="15:15">
      <c r="O132" s="3" t="s">
        <v>218</v>
      </c>
    </row>
    <row r="133" spans="15:15">
      <c r="O133" s="3" t="s">
        <v>244</v>
      </c>
    </row>
    <row r="134" spans="15:15">
      <c r="O134" s="3" t="s">
        <v>219</v>
      </c>
    </row>
    <row r="135" spans="15:15">
      <c r="O135" s="3" t="s">
        <v>220</v>
      </c>
    </row>
    <row r="136" spans="15:15">
      <c r="O136" s="3" t="s">
        <v>221</v>
      </c>
    </row>
    <row r="137" spans="15:15">
      <c r="O137" s="3" t="s">
        <v>223</v>
      </c>
    </row>
    <row r="138" spans="15:15">
      <c r="O138" s="3" t="s">
        <v>224</v>
      </c>
    </row>
    <row r="139" spans="15:15">
      <c r="O139" s="3" t="s">
        <v>225</v>
      </c>
    </row>
    <row r="140" spans="15:15">
      <c r="O140" s="3" t="s">
        <v>227</v>
      </c>
    </row>
    <row r="141" spans="15:15">
      <c r="O141" s="3" t="s">
        <v>228</v>
      </c>
    </row>
    <row r="142" spans="15:15">
      <c r="O142" s="3" t="s">
        <v>229</v>
      </c>
    </row>
    <row r="143" spans="15:15">
      <c r="O143" s="3" t="s">
        <v>230</v>
      </c>
    </row>
    <row r="144" spans="15:15">
      <c r="O144" s="3" t="s">
        <v>240</v>
      </c>
    </row>
    <row r="145" spans="15:15">
      <c r="O145" s="3" t="s">
        <v>241</v>
      </c>
    </row>
    <row r="146" spans="15:15">
      <c r="O146" s="3" t="s">
        <v>245</v>
      </c>
    </row>
    <row r="147" spans="15:15">
      <c r="O147" s="3" t="s">
        <v>246</v>
      </c>
    </row>
    <row r="148" spans="15:15">
      <c r="O148" s="3" t="s">
        <v>247</v>
      </c>
    </row>
    <row r="149" spans="15:15">
      <c r="O149" s="3" t="s">
        <v>222</v>
      </c>
    </row>
    <row r="150" spans="15:15">
      <c r="O150" s="3" t="s">
        <v>226</v>
      </c>
    </row>
    <row r="151" spans="15:15">
      <c r="O151" s="3" t="s">
        <v>231</v>
      </c>
    </row>
    <row r="152" spans="15:15">
      <c r="O152" s="3" t="s">
        <v>232</v>
      </c>
    </row>
    <row r="153" spans="15:15">
      <c r="O153" s="3" t="s">
        <v>234</v>
      </c>
    </row>
    <row r="154" spans="15:15">
      <c r="O154" s="3" t="s">
        <v>235</v>
      </c>
    </row>
    <row r="155" spans="15:15">
      <c r="O155" s="3" t="s">
        <v>236</v>
      </c>
    </row>
    <row r="156" spans="15:15">
      <c r="O156" s="3" t="s">
        <v>237</v>
      </c>
    </row>
    <row r="157" spans="15:15">
      <c r="O157" s="3" t="s">
        <v>239</v>
      </c>
    </row>
    <row r="158" spans="15:15">
      <c r="O158" s="3" t="s">
        <v>233</v>
      </c>
    </row>
    <row r="159" spans="15:15">
      <c r="O159" s="3" t="s">
        <v>238</v>
      </c>
    </row>
    <row r="160" spans="15:15">
      <c r="O160" s="3" t="s">
        <v>242</v>
      </c>
    </row>
    <row r="161" spans="15:15">
      <c r="O161" s="3" t="s">
        <v>243</v>
      </c>
    </row>
    <row r="162" spans="15:15">
      <c r="O162" s="3" t="s">
        <v>248</v>
      </c>
    </row>
    <row r="163" spans="15:15">
      <c r="O163" s="3" t="s">
        <v>249</v>
      </c>
    </row>
    <row r="164" spans="15:15">
      <c r="O164" s="3" t="s">
        <v>250</v>
      </c>
    </row>
    <row r="165" spans="15:15">
      <c r="O165" s="3" t="s">
        <v>251</v>
      </c>
    </row>
    <row r="166" spans="15:15">
      <c r="O166" s="3" t="s">
        <v>252</v>
      </c>
    </row>
    <row r="167" spans="15:15">
      <c r="O167" s="3" t="s">
        <v>253</v>
      </c>
    </row>
    <row r="168" spans="15:15">
      <c r="O168" s="3" t="s">
        <v>254</v>
      </c>
    </row>
    <row r="169" spans="15:15">
      <c r="O169" s="3" t="s">
        <v>255</v>
      </c>
    </row>
    <row r="170" spans="15:15">
      <c r="O170" s="3" t="s">
        <v>256</v>
      </c>
    </row>
    <row r="171" spans="15:15">
      <c r="O171" s="3" t="s">
        <v>257</v>
      </c>
    </row>
    <row r="172" spans="15:15">
      <c r="O172" s="3" t="s">
        <v>258</v>
      </c>
    </row>
    <row r="173" spans="15:15">
      <c r="O173" s="3" t="s">
        <v>259</v>
      </c>
    </row>
    <row r="174" spans="15:15">
      <c r="O174" s="3" t="s">
        <v>260</v>
      </c>
    </row>
    <row r="175" spans="15:15">
      <c r="O175" s="3" t="s">
        <v>261</v>
      </c>
    </row>
    <row r="176" spans="15:15">
      <c r="O176" s="3" t="s">
        <v>263</v>
      </c>
    </row>
    <row r="177" spans="15:15">
      <c r="O177" s="3" t="s">
        <v>262</v>
      </c>
    </row>
    <row r="178" spans="15:15">
      <c r="O178" s="3" t="s">
        <v>264</v>
      </c>
    </row>
    <row r="179" spans="15:15">
      <c r="O179" s="3" t="s">
        <v>265</v>
      </c>
    </row>
    <row r="180" spans="15:15">
      <c r="O180" s="3" t="s">
        <v>266</v>
      </c>
    </row>
    <row r="181" spans="15:15">
      <c r="O181" s="3" t="s">
        <v>267</v>
      </c>
    </row>
    <row r="182" spans="15:15">
      <c r="O182" s="3" t="s">
        <v>268</v>
      </c>
    </row>
    <row r="183" spans="15:15">
      <c r="O183" s="3" t="s">
        <v>269</v>
      </c>
    </row>
    <row r="184" spans="15:15">
      <c r="O184" s="3" t="s">
        <v>270</v>
      </c>
    </row>
    <row r="185" spans="15:15">
      <c r="O185" s="3" t="s">
        <v>272</v>
      </c>
    </row>
    <row r="186" spans="15:15">
      <c r="O186" s="3" t="s">
        <v>271</v>
      </c>
    </row>
    <row r="187" spans="15:15">
      <c r="O187" s="3" t="s">
        <v>273</v>
      </c>
    </row>
    <row r="188" spans="15:15">
      <c r="O188" s="3" t="s">
        <v>274</v>
      </c>
    </row>
    <row r="189" spans="15:15">
      <c r="O189" s="3" t="s">
        <v>275</v>
      </c>
    </row>
    <row r="190" spans="15:15">
      <c r="O190" s="3" t="s">
        <v>276</v>
      </c>
    </row>
    <row r="191" spans="15:15">
      <c r="O191" s="3" t="s">
        <v>277</v>
      </c>
    </row>
    <row r="192" spans="15:15">
      <c r="O192" s="3" t="s">
        <v>278</v>
      </c>
    </row>
    <row r="193" spans="15:15">
      <c r="O193" s="3" t="s">
        <v>279</v>
      </c>
    </row>
    <row r="194" spans="15:15">
      <c r="O194" s="3" t="s">
        <v>280</v>
      </c>
    </row>
    <row r="195" spans="15:15">
      <c r="O195" s="3" t="s">
        <v>281</v>
      </c>
    </row>
    <row r="196" spans="15:15">
      <c r="O196" s="3" t="s">
        <v>282</v>
      </c>
    </row>
    <row r="197" spans="15:15">
      <c r="O197" s="3" t="s">
        <v>284</v>
      </c>
    </row>
    <row r="198" spans="15:15">
      <c r="O198" s="3" t="s">
        <v>285</v>
      </c>
    </row>
    <row r="199" spans="15:15">
      <c r="O199" s="3" t="s">
        <v>286</v>
      </c>
    </row>
    <row r="200" spans="15:15">
      <c r="O200" s="3" t="s">
        <v>287</v>
      </c>
    </row>
    <row r="201" spans="15:15">
      <c r="O201" s="3" t="s">
        <v>288</v>
      </c>
    </row>
    <row r="202" spans="15:15">
      <c r="O202" s="3" t="s">
        <v>289</v>
      </c>
    </row>
    <row r="203" spans="15:15">
      <c r="O203" s="3" t="s">
        <v>290</v>
      </c>
    </row>
    <row r="204" spans="15:15">
      <c r="O204" s="3" t="s">
        <v>291</v>
      </c>
    </row>
    <row r="205" spans="15:15">
      <c r="O205" s="3" t="s">
        <v>292</v>
      </c>
    </row>
    <row r="206" spans="15:15">
      <c r="O206" s="3" t="s">
        <v>293</v>
      </c>
    </row>
    <row r="207" spans="15:15">
      <c r="O207" s="3" t="s">
        <v>294</v>
      </c>
    </row>
    <row r="208" spans="15:15">
      <c r="O208" s="3" t="s">
        <v>295</v>
      </c>
    </row>
    <row r="209" spans="15:15">
      <c r="O209" s="3" t="s">
        <v>296</v>
      </c>
    </row>
    <row r="210" spans="15:15">
      <c r="O210" s="3" t="s">
        <v>297</v>
      </c>
    </row>
    <row r="211" spans="15:15">
      <c r="O211" s="3" t="s">
        <v>298</v>
      </c>
    </row>
    <row r="212" spans="15:15">
      <c r="O212" s="3" t="s">
        <v>300</v>
      </c>
    </row>
    <row r="213" spans="15:15">
      <c r="O213" s="3" t="s">
        <v>301</v>
      </c>
    </row>
    <row r="214" spans="15:15">
      <c r="O214" s="3" t="s">
        <v>303</v>
      </c>
    </row>
    <row r="215" spans="15:15">
      <c r="O215" s="3" t="s">
        <v>304</v>
      </c>
    </row>
    <row r="216" spans="15:15">
      <c r="O216" s="3" t="s">
        <v>305</v>
      </c>
    </row>
    <row r="217" spans="15:15">
      <c r="O217" s="3" t="s">
        <v>308</v>
      </c>
    </row>
    <row r="218" spans="15:15">
      <c r="O218" s="3" t="s">
        <v>309</v>
      </c>
    </row>
    <row r="219" spans="15:15">
      <c r="O219" s="3" t="s">
        <v>311</v>
      </c>
    </row>
    <row r="220" spans="15:15">
      <c r="O220" s="3" t="s">
        <v>314</v>
      </c>
    </row>
    <row r="221" spans="15:15">
      <c r="O221" s="3" t="s">
        <v>315</v>
      </c>
    </row>
    <row r="222" spans="15:15">
      <c r="O222" s="3" t="s">
        <v>316</v>
      </c>
    </row>
    <row r="223" spans="15:15">
      <c r="O223" s="3" t="s">
        <v>317</v>
      </c>
    </row>
    <row r="224" spans="15:15">
      <c r="O224" s="3" t="s">
        <v>318</v>
      </c>
    </row>
    <row r="225" spans="15:15">
      <c r="O225" s="3" t="s">
        <v>319</v>
      </c>
    </row>
    <row r="226" spans="15:15">
      <c r="O226" s="3" t="s">
        <v>320</v>
      </c>
    </row>
    <row r="227" spans="15:15">
      <c r="O227" s="3" t="s">
        <v>322</v>
      </c>
    </row>
    <row r="228" spans="15:15">
      <c r="O228" s="3" t="s">
        <v>299</v>
      </c>
    </row>
    <row r="229" spans="15:15">
      <c r="O229" s="3" t="s">
        <v>302</v>
      </c>
    </row>
    <row r="230" spans="15:15">
      <c r="O230" s="3" t="s">
        <v>306</v>
      </c>
    </row>
    <row r="231" spans="15:15">
      <c r="O231" s="3" t="s">
        <v>307</v>
      </c>
    </row>
    <row r="232" spans="15:15">
      <c r="O232" s="3" t="s">
        <v>310</v>
      </c>
    </row>
    <row r="233" spans="15:15">
      <c r="O233" s="3" t="s">
        <v>312</v>
      </c>
    </row>
    <row r="234" spans="15:15">
      <c r="O234" s="3" t="s">
        <v>313</v>
      </c>
    </row>
    <row r="235" spans="15:15">
      <c r="O235" s="3" t="s">
        <v>321</v>
      </c>
    </row>
    <row r="236" spans="15:15">
      <c r="O236" s="3" t="s">
        <v>323</v>
      </c>
    </row>
    <row r="237" spans="15:15">
      <c r="O237" s="3" t="s">
        <v>324</v>
      </c>
    </row>
    <row r="238" spans="15:15">
      <c r="O238" s="3" t="s">
        <v>325</v>
      </c>
    </row>
    <row r="239" spans="15:15">
      <c r="O239" s="3" t="s">
        <v>326</v>
      </c>
    </row>
    <row r="240" spans="15:15">
      <c r="O240" s="3" t="s">
        <v>327</v>
      </c>
    </row>
    <row r="241" spans="15:15">
      <c r="O241" s="3" t="s">
        <v>328</v>
      </c>
    </row>
    <row r="242" spans="15:15">
      <c r="O242" s="3" t="s">
        <v>329</v>
      </c>
    </row>
    <row r="243" spans="15:15">
      <c r="O243" s="3" t="s">
        <v>330</v>
      </c>
    </row>
    <row r="244" spans="15:15">
      <c r="O244" s="3" t="s">
        <v>331</v>
      </c>
    </row>
    <row r="245" spans="15:15">
      <c r="O245" s="3" t="s">
        <v>332</v>
      </c>
    </row>
    <row r="246" spans="15:15">
      <c r="O246" s="3" t="s">
        <v>333</v>
      </c>
    </row>
    <row r="247" spans="15:15">
      <c r="O247" s="3" t="s">
        <v>334</v>
      </c>
    </row>
    <row r="248" spans="15:15">
      <c r="O248" s="3" t="s">
        <v>335</v>
      </c>
    </row>
    <row r="249" spans="15:15">
      <c r="O249" s="3" t="s">
        <v>336</v>
      </c>
    </row>
    <row r="250" spans="15:15">
      <c r="O250" s="3" t="s">
        <v>337</v>
      </c>
    </row>
    <row r="251" spans="15:15">
      <c r="O251" s="3" t="s">
        <v>338</v>
      </c>
    </row>
    <row r="252" spans="15:15">
      <c r="O252" s="3" t="s">
        <v>339</v>
      </c>
    </row>
    <row r="253" spans="15:15">
      <c r="O253" s="3" t="s">
        <v>340</v>
      </c>
    </row>
    <row r="254" spans="15:15">
      <c r="O254" s="3" t="s">
        <v>283</v>
      </c>
    </row>
    <row r="255" spans="15:15">
      <c r="O255" s="3" t="s">
        <v>341</v>
      </c>
    </row>
    <row r="256" spans="15:15">
      <c r="O256" s="3" t="s">
        <v>342</v>
      </c>
    </row>
    <row r="257" spans="15:15">
      <c r="O257" s="3" t="s">
        <v>343</v>
      </c>
    </row>
    <row r="258" spans="15:15">
      <c r="O258" s="3" t="s">
        <v>344</v>
      </c>
    </row>
    <row r="259" spans="15:15">
      <c r="O259" s="3" t="s">
        <v>345</v>
      </c>
    </row>
    <row r="260" spans="15:15">
      <c r="O260" s="3" t="s">
        <v>346</v>
      </c>
    </row>
    <row r="261" spans="15:15">
      <c r="O261" s="3" t="s">
        <v>347</v>
      </c>
    </row>
    <row r="262" spans="15:15">
      <c r="O262" s="3" t="s">
        <v>348</v>
      </c>
    </row>
    <row r="263" spans="15:15">
      <c r="O263" s="3" t="s">
        <v>349</v>
      </c>
    </row>
    <row r="264" spans="15:15">
      <c r="O264" s="3" t="s">
        <v>350</v>
      </c>
    </row>
    <row r="265" spans="15:15">
      <c r="O265" s="3" t="s">
        <v>351</v>
      </c>
    </row>
    <row r="266" spans="15:15">
      <c r="O266" s="3" t="s">
        <v>352</v>
      </c>
    </row>
    <row r="267" spans="15:15">
      <c r="O267" s="3" t="s">
        <v>353</v>
      </c>
    </row>
    <row r="268" spans="15:15">
      <c r="O268" s="3" t="s">
        <v>354</v>
      </c>
    </row>
    <row r="269" spans="15:15">
      <c r="O269" s="3" t="s">
        <v>355</v>
      </c>
    </row>
    <row r="270" spans="15:15">
      <c r="O270" s="3" t="s">
        <v>356</v>
      </c>
    </row>
    <row r="271" spans="15:15">
      <c r="O271" s="3" t="s">
        <v>357</v>
      </c>
    </row>
    <row r="272" spans="15:15">
      <c r="O272" s="3" t="s">
        <v>358</v>
      </c>
    </row>
    <row r="273" spans="15:15">
      <c r="O273" s="3" t="s">
        <v>359</v>
      </c>
    </row>
    <row r="274" spans="15:15">
      <c r="O274" s="3" t="s">
        <v>360</v>
      </c>
    </row>
    <row r="275" spans="15:15">
      <c r="O275" s="3" t="s">
        <v>361</v>
      </c>
    </row>
    <row r="276" spans="15:15">
      <c r="O276" s="3" t="s">
        <v>362</v>
      </c>
    </row>
    <row r="277" spans="15:15">
      <c r="O277" s="3" t="s">
        <v>363</v>
      </c>
    </row>
    <row r="278" spans="15:15">
      <c r="O278" s="3" t="s">
        <v>371</v>
      </c>
    </row>
    <row r="279" spans="15:15">
      <c r="O279" s="3" t="s">
        <v>372</v>
      </c>
    </row>
    <row r="280" spans="15:15">
      <c r="O280" s="3" t="s">
        <v>364</v>
      </c>
    </row>
    <row r="281" spans="15:15">
      <c r="O281" s="3" t="s">
        <v>365</v>
      </c>
    </row>
    <row r="282" spans="15:15">
      <c r="O282" s="3" t="s">
        <v>366</v>
      </c>
    </row>
    <row r="283" spans="15:15">
      <c r="O283" s="3" t="s">
        <v>367</v>
      </c>
    </row>
    <row r="284" spans="15:15">
      <c r="O284" s="3" t="s">
        <v>368</v>
      </c>
    </row>
    <row r="285" spans="15:15">
      <c r="O285" s="3" t="s">
        <v>369</v>
      </c>
    </row>
    <row r="286" spans="15:15">
      <c r="O286" s="3" t="s">
        <v>370</v>
      </c>
    </row>
    <row r="287" spans="15:15">
      <c r="O287" s="3" t="s">
        <v>373</v>
      </c>
    </row>
    <row r="288" spans="15:15">
      <c r="O288" s="3" t="s">
        <v>374</v>
      </c>
    </row>
    <row r="289" spans="15:15">
      <c r="O289" s="3" t="s">
        <v>375</v>
      </c>
    </row>
    <row r="290" spans="15:15">
      <c r="O290" s="3" t="s">
        <v>376</v>
      </c>
    </row>
    <row r="291" spans="15:15">
      <c r="O291" s="3" t="s">
        <v>377</v>
      </c>
    </row>
    <row r="292" spans="15:15">
      <c r="O292" s="3" t="s">
        <v>378</v>
      </c>
    </row>
    <row r="293" spans="15:15">
      <c r="O293" s="3" t="s">
        <v>379</v>
      </c>
    </row>
    <row r="294" spans="15:15">
      <c r="O294" s="3" t="s">
        <v>380</v>
      </c>
    </row>
    <row r="295" spans="15:15">
      <c r="O295" s="3" t="s">
        <v>381</v>
      </c>
    </row>
    <row r="296" spans="15:15">
      <c r="O296" s="3" t="s">
        <v>382</v>
      </c>
    </row>
    <row r="297" spans="15:15">
      <c r="O297" s="3" t="s">
        <v>383</v>
      </c>
    </row>
    <row r="298" spans="15:15">
      <c r="O298" s="3" t="s">
        <v>384</v>
      </c>
    </row>
    <row r="299" spans="15:15">
      <c r="O299" s="3" t="s">
        <v>385</v>
      </c>
    </row>
    <row r="300" spans="15:15">
      <c r="O300" s="3" t="s">
        <v>386</v>
      </c>
    </row>
    <row r="301" spans="15:15">
      <c r="O301" s="3" t="s">
        <v>388</v>
      </c>
    </row>
    <row r="302" spans="15:15">
      <c r="O302" s="3" t="s">
        <v>387</v>
      </c>
    </row>
    <row r="303" spans="15:15">
      <c r="O303" s="3" t="s">
        <v>389</v>
      </c>
    </row>
    <row r="304" spans="15:15">
      <c r="O304" s="3" t="s">
        <v>416</v>
      </c>
    </row>
    <row r="305" spans="15:15">
      <c r="O305" s="3" t="s">
        <v>390</v>
      </c>
    </row>
    <row r="306" spans="15:15">
      <c r="O306" s="3" t="s">
        <v>391</v>
      </c>
    </row>
    <row r="307" spans="15:15">
      <c r="O307" s="3" t="s">
        <v>392</v>
      </c>
    </row>
    <row r="308" spans="15:15">
      <c r="O308" s="3" t="s">
        <v>393</v>
      </c>
    </row>
    <row r="309" spans="15:15">
      <c r="O309" s="3" t="s">
        <v>394</v>
      </c>
    </row>
    <row r="310" spans="15:15">
      <c r="O310" s="3" t="s">
        <v>395</v>
      </c>
    </row>
    <row r="311" spans="15:15">
      <c r="O311" s="3" t="s">
        <v>396</v>
      </c>
    </row>
    <row r="312" spans="15:15">
      <c r="O312" s="3" t="s">
        <v>397</v>
      </c>
    </row>
    <row r="313" spans="15:15">
      <c r="O313" s="3" t="s">
        <v>398</v>
      </c>
    </row>
    <row r="314" spans="15:15">
      <c r="O314" s="3" t="s">
        <v>399</v>
      </c>
    </row>
    <row r="315" spans="15:15">
      <c r="O315" s="3" t="s">
        <v>400</v>
      </c>
    </row>
    <row r="316" spans="15:15">
      <c r="O316" s="3" t="s">
        <v>401</v>
      </c>
    </row>
    <row r="317" spans="15:15">
      <c r="O317" s="3" t="s">
        <v>415</v>
      </c>
    </row>
    <row r="318" spans="15:15">
      <c r="O318" s="3" t="s">
        <v>402</v>
      </c>
    </row>
    <row r="319" spans="15:15">
      <c r="O319" s="3" t="s">
        <v>403</v>
      </c>
    </row>
    <row r="320" spans="15:15">
      <c r="O320" s="3" t="s">
        <v>404</v>
      </c>
    </row>
    <row r="321" spans="15:15">
      <c r="O321" s="3" t="s">
        <v>405</v>
      </c>
    </row>
    <row r="322" spans="15:15">
      <c r="O322" s="3" t="s">
        <v>406</v>
      </c>
    </row>
    <row r="323" spans="15:15">
      <c r="O323" s="3" t="s">
        <v>408</v>
      </c>
    </row>
    <row r="324" spans="15:15">
      <c r="O324" s="3" t="s">
        <v>410</v>
      </c>
    </row>
    <row r="325" spans="15:15">
      <c r="O325" s="3" t="s">
        <v>407</v>
      </c>
    </row>
    <row r="326" spans="15:15">
      <c r="O326" s="3" t="s">
        <v>409</v>
      </c>
    </row>
    <row r="327" spans="15:15">
      <c r="O327" s="3" t="s">
        <v>411</v>
      </c>
    </row>
    <row r="328" spans="15:15">
      <c r="O328" s="3" t="s">
        <v>412</v>
      </c>
    </row>
    <row r="329" spans="15:15">
      <c r="O329" s="3" t="s">
        <v>413</v>
      </c>
    </row>
  </sheetData>
  <mergeCells count="5">
    <mergeCell ref="G2:I2"/>
    <mergeCell ref="G4:I4"/>
    <mergeCell ref="G43:K43"/>
    <mergeCell ref="G23:H23"/>
    <mergeCell ref="F17:H17"/>
  </mergeCells>
  <dataValidations count="1">
    <dataValidation type="list" allowBlank="1" showInputMessage="1" showErrorMessage="1" sqref="G2:I2">
      <formula1>$O$2:$O$329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wybor_medium">
                <anchor moveWithCells="1">
                  <from>
                    <xdr:col>4</xdr:col>
                    <xdr:colOff>9525</xdr:colOff>
                    <xdr:row>0</xdr:row>
                    <xdr:rowOff>180975</xdr:rowOff>
                  </from>
                  <to>
                    <xdr:col>5</xdr:col>
                    <xdr:colOff>609600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 macro="[0]!wybor_medium">
                <anchor moveWithCells="1">
                  <from>
                    <xdr:col>3</xdr:col>
                    <xdr:colOff>676275</xdr:colOff>
                    <xdr:row>2</xdr:row>
                    <xdr:rowOff>190500</xdr:rowOff>
                  </from>
                  <to>
                    <xdr:col>5</xdr:col>
                    <xdr:colOff>790575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AC329"/>
  <sheetViews>
    <sheetView showGridLines="0" zoomScale="85" zoomScaleNormal="85" workbookViewId="0">
      <selection activeCell="G25" sqref="G25:H26"/>
    </sheetView>
  </sheetViews>
  <sheetFormatPr defaultRowHeight="14.25"/>
  <cols>
    <col min="1" max="1" width="9" style="3" customWidth="1"/>
    <col min="2" max="2" width="9" style="3"/>
    <col min="3" max="3" width="7.875" style="3" customWidth="1"/>
    <col min="4" max="4" width="10.5" style="3" customWidth="1"/>
    <col min="5" max="7" width="9" style="3"/>
    <col min="8" max="8" width="11.75" style="3" bestFit="1" customWidth="1"/>
    <col min="9" max="9" width="12.375" style="32" bestFit="1" customWidth="1"/>
    <col min="10" max="10" width="9" style="3"/>
    <col min="11" max="11" width="9.25" style="3" bestFit="1" customWidth="1"/>
    <col min="12" max="12" width="17.875" style="3" customWidth="1"/>
    <col min="13" max="13" width="9" style="3"/>
    <col min="14" max="17" width="9" style="3" hidden="1" customWidth="1"/>
    <col min="18" max="18" width="13.75" style="3" customWidth="1"/>
    <col min="19" max="19" width="29" style="3" hidden="1" customWidth="1"/>
    <col min="20" max="20" width="0" style="3" hidden="1" customWidth="1"/>
    <col min="21" max="21" width="14.75" style="3" hidden="1" customWidth="1"/>
    <col min="22" max="29" width="0" style="3" hidden="1" customWidth="1"/>
    <col min="30" max="16384" width="9" style="3"/>
  </cols>
  <sheetData>
    <row r="1" spans="1:29">
      <c r="A1" s="9" t="s">
        <v>13</v>
      </c>
      <c r="B1" s="10" t="str">
        <f>IF(METRYKA!C2="","",METRYKA!C2)</f>
        <v/>
      </c>
      <c r="C1" s="10" t="s">
        <v>12</v>
      </c>
      <c r="D1" s="10" t="str">
        <f>IF(METRYKA!C4="","",METRYKA!C4)</f>
        <v/>
      </c>
      <c r="E1" s="10" t="s">
        <v>14</v>
      </c>
      <c r="F1" s="10" t="str">
        <f>IF(METRYKA!C6="","",METRYKA!C6)</f>
        <v/>
      </c>
      <c r="G1" s="10" t="s">
        <v>15</v>
      </c>
      <c r="H1" s="11">
        <f ca="1">NOW()</f>
        <v>42181.501063194446</v>
      </c>
      <c r="J1" s="32"/>
      <c r="K1" s="32" t="s">
        <v>532</v>
      </c>
      <c r="S1" s="3" t="s">
        <v>79</v>
      </c>
      <c r="T1" s="3" t="s">
        <v>80</v>
      </c>
      <c r="U1" s="3" t="s">
        <v>81</v>
      </c>
      <c r="V1" s="3" t="s">
        <v>82</v>
      </c>
      <c r="W1" s="3" t="s">
        <v>83</v>
      </c>
      <c r="X1" s="3" t="s">
        <v>84</v>
      </c>
      <c r="Y1" s="3" t="s">
        <v>11</v>
      </c>
      <c r="Z1" s="3" t="s">
        <v>85</v>
      </c>
      <c r="AA1" s="3" t="s">
        <v>86</v>
      </c>
      <c r="AB1" s="3" t="s">
        <v>87</v>
      </c>
      <c r="AC1" s="3" t="s">
        <v>88</v>
      </c>
    </row>
    <row r="2" spans="1:29">
      <c r="A2" s="12" t="s">
        <v>16</v>
      </c>
      <c r="B2" s="2" t="str">
        <f>IF(METRYKA!C8="","",METRYKA!C8)</f>
        <v/>
      </c>
      <c r="C2" s="100" t="s">
        <v>17</v>
      </c>
      <c r="D2" s="100"/>
      <c r="E2" s="2" t="str">
        <f>IF(METRYKA!C10="","",METRYKA!C10)</f>
        <v/>
      </c>
      <c r="F2" s="100" t="s">
        <v>18</v>
      </c>
      <c r="G2" s="100"/>
      <c r="H2" s="13" t="str">
        <f>IF(METRYKA!C12="","",METRYKA!C12)</f>
        <v/>
      </c>
      <c r="J2" s="32" t="s">
        <v>530</v>
      </c>
      <c r="K2" s="32">
        <f>J42*3.28084</f>
        <v>32.808399999999999</v>
      </c>
      <c r="O2" s="3" t="s">
        <v>27</v>
      </c>
      <c r="S2" s="3" t="s">
        <v>89</v>
      </c>
      <c r="T2" s="3">
        <v>24</v>
      </c>
      <c r="U2" s="3">
        <v>10.5</v>
      </c>
      <c r="V2" s="3">
        <f t="shared" ref="V2:V65" si="0">IF(U2="","",2.326*U2*1000)</f>
        <v>24423</v>
      </c>
      <c r="W2" s="3">
        <v>3</v>
      </c>
      <c r="X2" s="3">
        <v>4</v>
      </c>
      <c r="Y2" s="3">
        <v>2</v>
      </c>
      <c r="Z2" s="3">
        <v>-36</v>
      </c>
      <c r="AA2" s="3">
        <f t="shared" ref="AA2:AA65" si="1">IF(Z2="","",5*(Z2-32)/9)</f>
        <v>-37.777777777777779</v>
      </c>
      <c r="AB2" s="3">
        <v>69</v>
      </c>
      <c r="AC2" s="3">
        <f t="shared" ref="AC2:AC65" si="2">IF(AB2="","",5*(AB2-32)/9)</f>
        <v>20.555555555555557</v>
      </c>
    </row>
    <row r="3" spans="1:29">
      <c r="A3" s="12" t="s">
        <v>19</v>
      </c>
      <c r="B3" s="100" t="str">
        <f>IF(METRYKA!C14="","",METRYKA!C14)</f>
        <v/>
      </c>
      <c r="C3" s="100"/>
      <c r="D3" s="2" t="s">
        <v>20</v>
      </c>
      <c r="E3" s="100" t="str">
        <f>IF(METRYKA!C16="","",METRYKA!C16)</f>
        <v/>
      </c>
      <c r="F3" s="100"/>
      <c r="G3" s="2" t="s">
        <v>21</v>
      </c>
      <c r="H3" s="13" t="str">
        <f>IF(METRYKA!C18="","",METRYKA!C18)</f>
        <v/>
      </c>
      <c r="O3" s="3" t="s">
        <v>28</v>
      </c>
      <c r="S3" s="3" t="s">
        <v>90</v>
      </c>
      <c r="T3" s="3">
        <v>14</v>
      </c>
      <c r="U3" s="3">
        <v>5.6</v>
      </c>
      <c r="V3" s="3">
        <f t="shared" si="0"/>
        <v>13025.599999999999</v>
      </c>
      <c r="W3" s="3">
        <v>3</v>
      </c>
      <c r="X3" s="3">
        <v>2</v>
      </c>
      <c r="Y3" s="3">
        <v>1</v>
      </c>
      <c r="Z3" s="3">
        <v>103</v>
      </c>
      <c r="AA3" s="3">
        <f t="shared" si="1"/>
        <v>39.444444444444443</v>
      </c>
      <c r="AB3" s="3">
        <v>244</v>
      </c>
      <c r="AC3" s="3">
        <f t="shared" si="2"/>
        <v>117.77777777777777</v>
      </c>
    </row>
    <row r="4" spans="1:29">
      <c r="A4" s="96" t="s">
        <v>22</v>
      </c>
      <c r="B4" s="97"/>
      <c r="C4" s="97"/>
      <c r="D4" s="111" t="s">
        <v>23</v>
      </c>
      <c r="E4" s="111"/>
      <c r="F4" s="111" t="s">
        <v>24</v>
      </c>
      <c r="G4" s="111"/>
      <c r="H4" s="112"/>
      <c r="O4" s="3" t="s">
        <v>29</v>
      </c>
      <c r="S4" s="3" t="s">
        <v>91</v>
      </c>
      <c r="T4" s="3">
        <v>14</v>
      </c>
      <c r="U4" s="3">
        <v>7.1</v>
      </c>
      <c r="V4" s="3">
        <f t="shared" si="0"/>
        <v>16514.599999999999</v>
      </c>
      <c r="W4" s="3">
        <v>3</v>
      </c>
      <c r="X4" s="3">
        <v>2</v>
      </c>
      <c r="Y4" s="3">
        <v>1</v>
      </c>
      <c r="Z4" s="3">
        <v>126</v>
      </c>
      <c r="AA4" s="3">
        <f t="shared" si="1"/>
        <v>52.222222222222221</v>
      </c>
      <c r="AB4" s="3">
        <v>282</v>
      </c>
      <c r="AC4" s="3">
        <f t="shared" si="2"/>
        <v>138.88888888888889</v>
      </c>
    </row>
    <row r="5" spans="1:29">
      <c r="A5" s="96"/>
      <c r="B5" s="97"/>
      <c r="C5" s="97"/>
      <c r="D5" s="97"/>
      <c r="E5" s="97"/>
      <c r="F5" s="97"/>
      <c r="G5" s="97"/>
      <c r="H5" s="98"/>
      <c r="O5" s="3" t="s">
        <v>30</v>
      </c>
      <c r="S5" s="3" t="s">
        <v>92</v>
      </c>
      <c r="T5" s="3">
        <v>16</v>
      </c>
      <c r="U5" s="3">
        <v>12.3</v>
      </c>
      <c r="V5" s="3">
        <f t="shared" si="0"/>
        <v>28609.800000000003</v>
      </c>
      <c r="W5" s="3">
        <v>1</v>
      </c>
      <c r="X5" s="3">
        <v>3</v>
      </c>
      <c r="Y5" s="3">
        <v>0</v>
      </c>
      <c r="Z5" s="3">
        <v>-4</v>
      </c>
      <c r="AA5" s="3">
        <f t="shared" si="1"/>
        <v>-20</v>
      </c>
      <c r="AB5" s="3">
        <v>133</v>
      </c>
      <c r="AC5" s="3">
        <f t="shared" si="2"/>
        <v>56.111111111111114</v>
      </c>
    </row>
    <row r="6" spans="1:29">
      <c r="A6" s="99" t="s">
        <v>25</v>
      </c>
      <c r="B6" s="100"/>
      <c r="C6" s="100"/>
      <c r="D6" s="100" t="str">
        <f>IF(METRYKA!C20="","",METRYKA!C20)</f>
        <v/>
      </c>
      <c r="E6" s="100"/>
      <c r="F6" s="100"/>
      <c r="G6" s="100"/>
      <c r="H6" s="101"/>
      <c r="S6" s="3" t="s">
        <v>93</v>
      </c>
      <c r="T6" s="3">
        <v>24</v>
      </c>
      <c r="U6" s="3">
        <v>11.2</v>
      </c>
      <c r="V6" s="3">
        <f t="shared" si="0"/>
        <v>26051.199999999997</v>
      </c>
      <c r="W6" s="3">
        <v>4</v>
      </c>
      <c r="X6" s="3">
        <v>2</v>
      </c>
      <c r="Y6" s="3">
        <v>2</v>
      </c>
      <c r="Z6" s="3">
        <v>165</v>
      </c>
      <c r="AA6" s="3">
        <f t="shared" si="1"/>
        <v>73.888888888888886</v>
      </c>
      <c r="AB6" s="3">
        <v>203</v>
      </c>
      <c r="AC6" s="3">
        <f t="shared" si="2"/>
        <v>95</v>
      </c>
    </row>
    <row r="7" spans="1:29">
      <c r="A7" s="96" t="s">
        <v>26</v>
      </c>
      <c r="B7" s="102"/>
      <c r="C7" s="102"/>
      <c r="D7" s="97" t="s">
        <v>31</v>
      </c>
      <c r="E7" s="97"/>
      <c r="F7" s="97"/>
      <c r="G7" s="97"/>
      <c r="H7" s="98"/>
      <c r="O7" s="3" t="s">
        <v>41</v>
      </c>
      <c r="S7" s="3" t="s">
        <v>94</v>
      </c>
      <c r="T7" s="3">
        <v>16</v>
      </c>
      <c r="U7" s="3">
        <v>12.6</v>
      </c>
      <c r="V7" s="3">
        <f t="shared" si="0"/>
        <v>29307.600000000002</v>
      </c>
      <c r="W7" s="3">
        <v>3</v>
      </c>
      <c r="X7" s="3">
        <v>3</v>
      </c>
      <c r="Y7" s="3">
        <v>0</v>
      </c>
      <c r="Z7" s="3">
        <v>42</v>
      </c>
      <c r="AA7" s="3">
        <f t="shared" si="1"/>
        <v>5.5555555555555554</v>
      </c>
      <c r="AB7" s="3">
        <v>179</v>
      </c>
      <c r="AC7" s="3">
        <f t="shared" si="2"/>
        <v>81.666666666666671</v>
      </c>
    </row>
    <row r="8" spans="1:29">
      <c r="A8" s="115"/>
      <c r="B8" s="108"/>
      <c r="C8" s="108"/>
      <c r="D8" s="108">
        <f>METRYKA!C22</f>
        <v>0</v>
      </c>
      <c r="E8" s="108"/>
      <c r="F8" s="108"/>
      <c r="G8" s="108"/>
      <c r="H8" s="116"/>
      <c r="O8" s="3" t="s">
        <v>42</v>
      </c>
      <c r="S8" s="3" t="s">
        <v>95</v>
      </c>
      <c r="T8" s="3">
        <v>24</v>
      </c>
      <c r="U8" s="3">
        <v>2.5</v>
      </c>
      <c r="V8" s="3">
        <f t="shared" si="0"/>
        <v>5815</v>
      </c>
      <c r="W8" s="3">
        <v>33</v>
      </c>
      <c r="X8" s="3">
        <v>3</v>
      </c>
      <c r="Y8" s="3">
        <v>2</v>
      </c>
      <c r="Z8" s="3">
        <v>40</v>
      </c>
      <c r="AA8" s="3">
        <f t="shared" si="1"/>
        <v>4.4444444444444446</v>
      </c>
      <c r="AB8" s="3">
        <v>124</v>
      </c>
      <c r="AC8" s="3">
        <f t="shared" si="2"/>
        <v>51.111111111111114</v>
      </c>
    </row>
    <row r="9" spans="1:29" ht="29.25" customHeight="1">
      <c r="A9" s="117" t="s">
        <v>32</v>
      </c>
      <c r="B9" s="118"/>
      <c r="C9" s="118"/>
      <c r="D9" s="118"/>
      <c r="E9" s="118"/>
      <c r="F9" s="119">
        <f>METRYKA!G23</f>
        <v>1</v>
      </c>
      <c r="G9" s="119"/>
      <c r="H9" s="120"/>
      <c r="S9" s="3" t="s">
        <v>97</v>
      </c>
      <c r="T9" s="3">
        <v>14</v>
      </c>
      <c r="U9" s="3">
        <v>9.4</v>
      </c>
      <c r="V9" s="3">
        <f t="shared" si="0"/>
        <v>21864.400000000001</v>
      </c>
      <c r="W9" s="3">
        <v>1</v>
      </c>
      <c r="X9" s="3">
        <v>1</v>
      </c>
      <c r="Y9" s="3">
        <v>1</v>
      </c>
      <c r="Z9" s="3">
        <v>355</v>
      </c>
      <c r="AA9" s="3">
        <f t="shared" si="1"/>
        <v>179.44444444444446</v>
      </c>
      <c r="AB9" s="3">
        <v>304</v>
      </c>
      <c r="AC9" s="3">
        <f t="shared" si="2"/>
        <v>151.11111111111111</v>
      </c>
    </row>
    <row r="10" spans="1:29" ht="15">
      <c r="A10" s="121" t="s">
        <v>0</v>
      </c>
      <c r="B10" s="122"/>
      <c r="C10" s="122"/>
      <c r="D10" s="122"/>
      <c r="E10" s="123" t="s">
        <v>1</v>
      </c>
      <c r="F10" s="123"/>
      <c r="G10" s="123" t="s">
        <v>33</v>
      </c>
      <c r="H10" s="124"/>
      <c r="K10" s="3" t="s">
        <v>463</v>
      </c>
      <c r="S10" s="3" t="s">
        <v>98</v>
      </c>
      <c r="T10" s="3">
        <v>40</v>
      </c>
      <c r="U10" s="3">
        <v>6.4</v>
      </c>
      <c r="V10" s="3">
        <f t="shared" si="0"/>
        <v>14886.400000000001</v>
      </c>
      <c r="W10" s="3">
        <v>1</v>
      </c>
      <c r="X10" s="3">
        <v>2</v>
      </c>
      <c r="Y10" s="3">
        <v>4</v>
      </c>
      <c r="AA10" s="3" t="str">
        <f t="shared" si="1"/>
        <v/>
      </c>
      <c r="AC10" s="3" t="str">
        <f t="shared" si="2"/>
        <v/>
      </c>
    </row>
    <row r="11" spans="1:29" ht="15" thickBot="1">
      <c r="A11" s="113" t="s">
        <v>34</v>
      </c>
      <c r="B11" s="114"/>
      <c r="C11" s="114"/>
      <c r="D11" s="114"/>
      <c r="E11" s="108" t="str">
        <f>"1,00"</f>
        <v>1,00</v>
      </c>
      <c r="F11" s="108"/>
      <c r="G11" s="109">
        <v>1</v>
      </c>
      <c r="H11" s="110"/>
      <c r="S11" s="3" t="s">
        <v>99</v>
      </c>
      <c r="T11" s="3">
        <v>16</v>
      </c>
      <c r="U11" s="3">
        <v>8.9</v>
      </c>
      <c r="V11" s="3">
        <f t="shared" si="0"/>
        <v>20701.400000000001</v>
      </c>
      <c r="W11" s="3">
        <v>1</v>
      </c>
      <c r="X11" s="3">
        <v>1</v>
      </c>
      <c r="Y11" s="3">
        <v>0</v>
      </c>
      <c r="AA11" s="3" t="str">
        <f t="shared" si="1"/>
        <v/>
      </c>
      <c r="AC11" s="3" t="str">
        <f t="shared" si="2"/>
        <v/>
      </c>
    </row>
    <row r="12" spans="1:29" ht="15" thickBot="1">
      <c r="A12" s="103" t="s">
        <v>2</v>
      </c>
      <c r="B12" s="104"/>
      <c r="C12" s="104"/>
      <c r="D12" s="104"/>
      <c r="E12" s="107" t="s">
        <v>65</v>
      </c>
      <c r="F12" s="108"/>
      <c r="G12" s="109">
        <f>IF(J12="","",VLOOKUP(J12,B54:D68,3))</f>
        <v>0.5</v>
      </c>
      <c r="H12" s="110"/>
      <c r="J12" s="89" t="s">
        <v>459</v>
      </c>
      <c r="K12" s="90"/>
      <c r="L12" s="91"/>
      <c r="S12" s="3" t="s">
        <v>100</v>
      </c>
      <c r="T12" s="3">
        <v>4</v>
      </c>
      <c r="U12" s="3">
        <v>10.9</v>
      </c>
      <c r="V12" s="3">
        <f t="shared" si="0"/>
        <v>25353.4</v>
      </c>
      <c r="W12" s="3">
        <v>0</v>
      </c>
      <c r="X12" s="3">
        <v>1</v>
      </c>
      <c r="Y12" s="3">
        <v>0</v>
      </c>
      <c r="Z12" s="3">
        <v>400</v>
      </c>
      <c r="AA12" s="3">
        <f t="shared" si="1"/>
        <v>204.44444444444446</v>
      </c>
      <c r="AB12" s="3">
        <v>343</v>
      </c>
      <c r="AC12" s="3">
        <f t="shared" si="2"/>
        <v>172.77777777777777</v>
      </c>
    </row>
    <row r="13" spans="1:29" ht="15" thickBot="1">
      <c r="A13" s="103" t="s">
        <v>3</v>
      </c>
      <c r="B13" s="104"/>
      <c r="C13" s="104"/>
      <c r="D13" s="104"/>
      <c r="E13" s="107" t="s">
        <v>66</v>
      </c>
      <c r="F13" s="108"/>
      <c r="G13" s="109" t="str">
        <f>IF(J13="","",VLOOKUP(J13,F54:G59,2))</f>
        <v/>
      </c>
      <c r="H13" s="110"/>
      <c r="J13" s="92"/>
      <c r="K13" s="93"/>
      <c r="L13" s="94"/>
      <c r="S13" s="3" t="s">
        <v>96</v>
      </c>
      <c r="T13" s="3">
        <v>29</v>
      </c>
      <c r="U13" s="3">
        <v>20.7</v>
      </c>
      <c r="V13" s="3">
        <f t="shared" si="0"/>
        <v>48148.200000000004</v>
      </c>
      <c r="W13" s="3">
        <v>0</v>
      </c>
      <c r="X13" s="3">
        <v>4</v>
      </c>
      <c r="Y13" s="3">
        <v>3</v>
      </c>
      <c r="AA13" s="3" t="str">
        <f t="shared" si="1"/>
        <v/>
      </c>
      <c r="AB13" s="3">
        <v>-118</v>
      </c>
      <c r="AC13" s="3">
        <f t="shared" si="2"/>
        <v>-83.333333333333329</v>
      </c>
    </row>
    <row r="14" spans="1:29" ht="26.25" customHeight="1" thickBot="1">
      <c r="A14" s="105" t="s">
        <v>4</v>
      </c>
      <c r="B14" s="106"/>
      <c r="C14" s="106"/>
      <c r="D14" s="106"/>
      <c r="E14" s="107" t="s">
        <v>67</v>
      </c>
      <c r="F14" s="108"/>
      <c r="G14" s="109" t="str">
        <f>IF(J14="","",VLOOKUP(J14,F62:G67,2))</f>
        <v/>
      </c>
      <c r="H14" s="110"/>
      <c r="J14" s="92"/>
      <c r="K14" s="93"/>
      <c r="L14" s="94"/>
      <c r="S14" s="3" t="s">
        <v>101</v>
      </c>
      <c r="T14" s="3">
        <v>29</v>
      </c>
      <c r="U14" s="3">
        <v>11.8</v>
      </c>
      <c r="V14" s="3">
        <f t="shared" si="0"/>
        <v>27446.800000000003</v>
      </c>
      <c r="W14" s="3">
        <v>4</v>
      </c>
      <c r="X14" s="3">
        <v>3</v>
      </c>
      <c r="Y14" s="3">
        <v>3</v>
      </c>
      <c r="Z14" s="3">
        <v>-15</v>
      </c>
      <c r="AA14" s="3">
        <f t="shared" si="1"/>
        <v>-26.111111111111111</v>
      </c>
      <c r="AB14" s="3">
        <v>127</v>
      </c>
      <c r="AC14" s="3">
        <f t="shared" si="2"/>
        <v>52.777777777777779</v>
      </c>
    </row>
    <row r="15" spans="1:29" ht="30" customHeight="1" thickBot="1">
      <c r="A15" s="105" t="s">
        <v>5</v>
      </c>
      <c r="B15" s="106"/>
      <c r="C15" s="106"/>
      <c r="D15" s="106"/>
      <c r="E15" s="107" t="s">
        <v>68</v>
      </c>
      <c r="F15" s="108"/>
      <c r="G15" s="109">
        <f>IF(I15="","",I15/P15)</f>
        <v>0.22500000000000001</v>
      </c>
      <c r="H15" s="110"/>
      <c r="I15" s="32">
        <f>IF(J15="","",VLOOKUP(J15,B71:C73,2))</f>
        <v>0.45</v>
      </c>
      <c r="J15" s="92" t="s">
        <v>477</v>
      </c>
      <c r="K15" s="93"/>
      <c r="L15" s="94"/>
      <c r="P15" s="3">
        <f>IF(Q15=TRUE,2,1)</f>
        <v>2</v>
      </c>
      <c r="Q15" s="3" t="b">
        <v>1</v>
      </c>
      <c r="S15" s="3" t="s">
        <v>102</v>
      </c>
      <c r="T15" s="3">
        <v>24</v>
      </c>
      <c r="U15" s="3">
        <v>9.5</v>
      </c>
      <c r="V15" s="3">
        <f t="shared" si="0"/>
        <v>22097</v>
      </c>
      <c r="W15" s="3">
        <v>3</v>
      </c>
      <c r="X15" s="3">
        <v>2</v>
      </c>
      <c r="Y15" s="3">
        <v>2</v>
      </c>
      <c r="AA15" s="3" t="str">
        <f t="shared" si="1"/>
        <v/>
      </c>
      <c r="AB15" s="3">
        <v>257</v>
      </c>
      <c r="AC15" s="3">
        <f t="shared" si="2"/>
        <v>125</v>
      </c>
    </row>
    <row r="16" spans="1:29" ht="15" thickBot="1">
      <c r="A16" s="103" t="s">
        <v>6</v>
      </c>
      <c r="B16" s="104"/>
      <c r="C16" s="104"/>
      <c r="D16" s="104"/>
      <c r="E16" s="107" t="s">
        <v>69</v>
      </c>
      <c r="F16" s="108"/>
      <c r="G16" s="109">
        <f>IF(Q16=TRUE,0,IF(L16="","",IF(L16="do 925 m2",0.2,0.35)))</f>
        <v>0</v>
      </c>
      <c r="H16" s="110"/>
      <c r="J16" s="95" t="s">
        <v>479</v>
      </c>
      <c r="K16" s="95"/>
      <c r="L16" s="28" t="s">
        <v>661</v>
      </c>
      <c r="Q16" s="3" t="b">
        <v>1</v>
      </c>
      <c r="S16" s="3" t="s">
        <v>103</v>
      </c>
      <c r="T16" s="3">
        <v>24</v>
      </c>
      <c r="U16" s="3">
        <v>7.6</v>
      </c>
      <c r="V16" s="3">
        <f t="shared" si="0"/>
        <v>17677.599999999999</v>
      </c>
      <c r="W16" s="3">
        <v>3</v>
      </c>
      <c r="X16" s="3">
        <v>2</v>
      </c>
      <c r="Y16" s="3">
        <v>2</v>
      </c>
      <c r="Z16" s="3">
        <v>124</v>
      </c>
      <c r="AA16" s="3">
        <f t="shared" si="1"/>
        <v>51.111111111111114</v>
      </c>
      <c r="AB16" s="3">
        <v>286</v>
      </c>
      <c r="AC16" s="3">
        <f t="shared" si="2"/>
        <v>141.11111111111111</v>
      </c>
    </row>
    <row r="17" spans="1:29">
      <c r="A17" s="131" t="s">
        <v>35</v>
      </c>
      <c r="B17" s="132"/>
      <c r="C17" s="133"/>
      <c r="D17" s="7" t="str">
        <f>IF(METRYKA!C26="","",METRYKA!C26)</f>
        <v/>
      </c>
      <c r="E17" s="107" t="s">
        <v>70</v>
      </c>
      <c r="F17" s="108"/>
      <c r="G17" s="129">
        <f>IF(J17="","",VLOOKUP(J17,B76:C79,2))</f>
        <v>0</v>
      </c>
      <c r="H17" s="130"/>
      <c r="J17" s="81" t="s">
        <v>484</v>
      </c>
      <c r="K17" s="82"/>
      <c r="L17" s="83"/>
      <c r="S17" s="3" t="s">
        <v>104</v>
      </c>
      <c r="T17" s="3">
        <v>24</v>
      </c>
      <c r="U17" s="3">
        <v>13.7</v>
      </c>
      <c r="V17" s="3">
        <f t="shared" si="0"/>
        <v>31866.2</v>
      </c>
      <c r="W17" s="3">
        <v>4</v>
      </c>
      <c r="X17" s="3">
        <v>3</v>
      </c>
      <c r="Y17" s="3">
        <v>2</v>
      </c>
      <c r="Z17" s="3">
        <v>32</v>
      </c>
      <c r="AA17" s="3">
        <f t="shared" si="1"/>
        <v>0</v>
      </c>
      <c r="AB17" s="3">
        <v>171</v>
      </c>
      <c r="AC17" s="3">
        <f t="shared" si="2"/>
        <v>77.222222222222229</v>
      </c>
    </row>
    <row r="18" spans="1:29" ht="15" thickBot="1">
      <c r="A18" s="134"/>
      <c r="B18" s="135"/>
      <c r="C18" s="136"/>
      <c r="D18" s="8" t="s">
        <v>59</v>
      </c>
      <c r="E18" s="108"/>
      <c r="F18" s="108"/>
      <c r="G18" s="129"/>
      <c r="H18" s="130"/>
      <c r="J18" s="84"/>
      <c r="K18" s="85"/>
      <c r="L18" s="86"/>
      <c r="S18" s="3" t="s">
        <v>105</v>
      </c>
      <c r="T18" s="3">
        <v>16</v>
      </c>
      <c r="U18" s="3">
        <v>13.7</v>
      </c>
      <c r="V18" s="3">
        <f t="shared" si="0"/>
        <v>31866.2</v>
      </c>
      <c r="W18" s="3">
        <v>4</v>
      </c>
      <c r="X18" s="3">
        <v>3</v>
      </c>
      <c r="Y18" s="3">
        <v>1</v>
      </c>
      <c r="Z18" s="3">
        <v>72</v>
      </c>
      <c r="AA18" s="3">
        <f t="shared" si="1"/>
        <v>22.222222222222221</v>
      </c>
      <c r="AB18" s="3">
        <v>207</v>
      </c>
      <c r="AC18" s="3">
        <f t="shared" si="2"/>
        <v>97.222222222222229</v>
      </c>
    </row>
    <row r="19" spans="1:29" ht="9.75" customHeight="1">
      <c r="A19" s="137" t="s">
        <v>36</v>
      </c>
      <c r="B19" s="118"/>
      <c r="C19" s="118"/>
      <c r="D19" s="118"/>
      <c r="E19" s="118"/>
      <c r="F19" s="118"/>
      <c r="G19" s="125">
        <f>SUM(G11:H18)</f>
        <v>1.7250000000000001</v>
      </c>
      <c r="H19" s="126"/>
      <c r="S19" s="3" t="s">
        <v>107</v>
      </c>
      <c r="T19" s="3">
        <v>16</v>
      </c>
      <c r="U19" s="3">
        <v>5.9</v>
      </c>
      <c r="V19" s="3">
        <f t="shared" si="0"/>
        <v>13723.400000000001</v>
      </c>
      <c r="W19" s="3">
        <v>3</v>
      </c>
      <c r="X19" s="3">
        <v>3</v>
      </c>
      <c r="Y19" s="3">
        <v>1</v>
      </c>
      <c r="Z19" s="3">
        <v>28</v>
      </c>
      <c r="AA19" s="3">
        <f t="shared" si="1"/>
        <v>-2.2222222222222223</v>
      </c>
      <c r="AB19" s="3">
        <v>160</v>
      </c>
      <c r="AC19" s="3">
        <f t="shared" si="2"/>
        <v>71.111111111111114</v>
      </c>
    </row>
    <row r="20" spans="1:29" ht="9.75" customHeight="1">
      <c r="A20" s="117"/>
      <c r="B20" s="118"/>
      <c r="C20" s="118"/>
      <c r="D20" s="118"/>
      <c r="E20" s="118"/>
      <c r="F20" s="118"/>
      <c r="G20" s="125"/>
      <c r="H20" s="126"/>
      <c r="S20" s="3" t="s">
        <v>108</v>
      </c>
      <c r="T20" s="3">
        <v>16</v>
      </c>
      <c r="U20" s="3">
        <v>9.6999999999999993</v>
      </c>
      <c r="V20" s="3">
        <f t="shared" si="0"/>
        <v>22562.2</v>
      </c>
      <c r="W20" s="3">
        <v>3</v>
      </c>
      <c r="X20" s="3">
        <v>3</v>
      </c>
      <c r="Y20" s="3">
        <v>1</v>
      </c>
      <c r="Z20" s="3">
        <v>-20</v>
      </c>
      <c r="AA20" s="3">
        <f t="shared" si="1"/>
        <v>-28.888888888888889</v>
      </c>
      <c r="AB20" s="3">
        <v>113</v>
      </c>
      <c r="AC20" s="3">
        <f t="shared" si="2"/>
        <v>45</v>
      </c>
    </row>
    <row r="21" spans="1:29" ht="31.5" customHeight="1">
      <c r="A21" s="127" t="s">
        <v>37</v>
      </c>
      <c r="B21" s="128"/>
      <c r="C21" s="128"/>
      <c r="D21" s="128"/>
      <c r="E21" s="108"/>
      <c r="F21" s="108"/>
      <c r="G21" s="109"/>
      <c r="H21" s="110"/>
      <c r="S21" s="3" t="s">
        <v>109</v>
      </c>
      <c r="T21" s="3">
        <v>24</v>
      </c>
      <c r="U21" s="3">
        <v>16</v>
      </c>
      <c r="V21" s="3">
        <f t="shared" si="0"/>
        <v>37216</v>
      </c>
      <c r="W21" s="3">
        <v>3</v>
      </c>
      <c r="X21" s="3">
        <v>3</v>
      </c>
      <c r="Y21" s="3">
        <v>2</v>
      </c>
      <c r="Z21" s="3">
        <v>20</v>
      </c>
      <c r="AA21" s="3">
        <f t="shared" si="1"/>
        <v>-6.666666666666667</v>
      </c>
      <c r="AB21" s="3">
        <v>203</v>
      </c>
      <c r="AC21" s="3">
        <f t="shared" si="2"/>
        <v>95</v>
      </c>
    </row>
    <row r="22" spans="1:29">
      <c r="A22" s="103" t="s">
        <v>34</v>
      </c>
      <c r="B22" s="104"/>
      <c r="C22" s="104"/>
      <c r="D22" s="104"/>
      <c r="E22" s="108" t="str">
        <f>"1,00"</f>
        <v>1,00</v>
      </c>
      <c r="F22" s="108"/>
      <c r="G22" s="109">
        <v>1</v>
      </c>
      <c r="H22" s="110"/>
      <c r="S22" s="3" t="s">
        <v>106</v>
      </c>
      <c r="T22" s="3">
        <v>16</v>
      </c>
      <c r="U22" s="3">
        <v>15.4</v>
      </c>
      <c r="V22" s="3">
        <f t="shared" si="0"/>
        <v>35820.400000000001</v>
      </c>
      <c r="W22" s="3">
        <v>4</v>
      </c>
      <c r="X22" s="3">
        <v>3</v>
      </c>
      <c r="Y22" s="3">
        <v>1</v>
      </c>
      <c r="Z22" s="3">
        <v>-4</v>
      </c>
      <c r="AA22" s="3">
        <f t="shared" si="1"/>
        <v>-20</v>
      </c>
      <c r="AB22" s="3">
        <v>128</v>
      </c>
      <c r="AC22" s="3">
        <f t="shared" si="2"/>
        <v>53.333333333333336</v>
      </c>
    </row>
    <row r="23" spans="1:29" ht="15" thickBot="1">
      <c r="A23" s="103" t="s">
        <v>38</v>
      </c>
      <c r="B23" s="104"/>
      <c r="C23" s="104"/>
      <c r="D23" s="104"/>
      <c r="E23" s="107" t="s">
        <v>71</v>
      </c>
      <c r="F23" s="108"/>
      <c r="G23" s="109">
        <f>IF(METRYKA!I8="","",METRYKA!I8*0.2)</f>
        <v>0</v>
      </c>
      <c r="H23" s="110"/>
      <c r="S23" s="3" t="s">
        <v>110</v>
      </c>
      <c r="T23" s="3">
        <v>24</v>
      </c>
      <c r="V23" s="3" t="str">
        <f t="shared" si="0"/>
        <v/>
      </c>
      <c r="W23" s="3">
        <v>3</v>
      </c>
      <c r="X23" s="3">
        <v>0</v>
      </c>
      <c r="Y23" s="3">
        <v>2</v>
      </c>
      <c r="AA23" s="3" t="str">
        <f t="shared" si="1"/>
        <v/>
      </c>
      <c r="AC23" s="3" t="str">
        <f t="shared" si="2"/>
        <v/>
      </c>
    </row>
    <row r="24" spans="1:29" ht="15" thickBot="1">
      <c r="A24" s="113" t="s">
        <v>39</v>
      </c>
      <c r="B24" s="114"/>
      <c r="C24" s="114"/>
      <c r="D24" s="114"/>
      <c r="E24" s="108" t="str">
        <f>"0,50"</f>
        <v>0,50</v>
      </c>
      <c r="F24" s="108"/>
      <c r="G24" s="109">
        <f>IF(J24="","",VLOOKUP(J24,E76:F77,2))</f>
        <v>0.5</v>
      </c>
      <c r="H24" s="110"/>
      <c r="J24" s="63" t="s">
        <v>486</v>
      </c>
      <c r="K24" s="71"/>
      <c r="L24" s="64"/>
      <c r="S24" s="3" t="s">
        <v>111</v>
      </c>
      <c r="T24" s="3">
        <v>4</v>
      </c>
      <c r="U24" s="3">
        <v>8</v>
      </c>
      <c r="V24" s="3">
        <f t="shared" si="0"/>
        <v>18608</v>
      </c>
      <c r="W24" s="3">
        <v>3</v>
      </c>
      <c r="X24" s="3">
        <v>1</v>
      </c>
      <c r="Y24" s="3">
        <v>0</v>
      </c>
      <c r="AA24" s="3" t="str">
        <f t="shared" si="1"/>
        <v/>
      </c>
      <c r="AB24" s="3">
        <v>-28</v>
      </c>
      <c r="AC24" s="3">
        <f t="shared" si="2"/>
        <v>-33.333333333333336</v>
      </c>
    </row>
    <row r="25" spans="1:29" ht="28.5" customHeight="1">
      <c r="A25" s="138" t="s">
        <v>40</v>
      </c>
      <c r="B25" s="139"/>
      <c r="C25" s="139"/>
      <c r="D25" s="139"/>
      <c r="E25" s="108"/>
      <c r="F25" s="108"/>
      <c r="G25" s="109"/>
      <c r="H25" s="110"/>
      <c r="J25" s="72" t="s">
        <v>489</v>
      </c>
      <c r="K25" s="73"/>
      <c r="L25" s="74"/>
      <c r="N25" s="29">
        <f>IF(J25="","",VLOOKUP(J25,B81:C86,2))</f>
        <v>0.5</v>
      </c>
      <c r="S25" s="3" t="s">
        <v>112</v>
      </c>
      <c r="T25" s="3">
        <v>29</v>
      </c>
      <c r="U25" s="3">
        <v>12.4</v>
      </c>
      <c r="V25" s="3">
        <f t="shared" si="0"/>
        <v>28842.400000000001</v>
      </c>
      <c r="W25" s="3">
        <v>0</v>
      </c>
      <c r="X25" s="3">
        <v>0</v>
      </c>
      <c r="Y25" s="3">
        <v>3</v>
      </c>
      <c r="AA25" s="3" t="str">
        <f t="shared" si="1"/>
        <v/>
      </c>
      <c r="AB25" s="3">
        <v>410</v>
      </c>
      <c r="AC25" s="3">
        <f t="shared" si="2"/>
        <v>210</v>
      </c>
    </row>
    <row r="26" spans="1:29">
      <c r="A26" s="140"/>
      <c r="B26" s="141"/>
      <c r="C26" s="141"/>
      <c r="D26" s="141"/>
      <c r="E26" s="108"/>
      <c r="F26" s="108"/>
      <c r="G26" s="109"/>
      <c r="H26" s="110"/>
      <c r="J26" s="75"/>
      <c r="K26" s="76"/>
      <c r="L26" s="77"/>
      <c r="S26" s="3" t="s">
        <v>113</v>
      </c>
      <c r="T26" s="3">
        <v>16</v>
      </c>
      <c r="U26" s="3">
        <v>14.6</v>
      </c>
      <c r="V26" s="3">
        <f t="shared" si="0"/>
        <v>33959.599999999999</v>
      </c>
      <c r="W26" s="3">
        <v>1</v>
      </c>
      <c r="X26" s="3">
        <v>3</v>
      </c>
      <c r="Y26" s="3">
        <v>0</v>
      </c>
      <c r="Z26" s="3">
        <v>60</v>
      </c>
      <c r="AA26" s="3">
        <f t="shared" si="1"/>
        <v>15.555555555555555</v>
      </c>
      <c r="AB26" s="3">
        <v>300</v>
      </c>
      <c r="AC26" s="3">
        <f t="shared" si="2"/>
        <v>148.88888888888889</v>
      </c>
    </row>
    <row r="27" spans="1:29">
      <c r="A27" s="113" t="s">
        <v>43</v>
      </c>
      <c r="B27" s="114"/>
      <c r="C27" s="114"/>
      <c r="D27" s="114"/>
      <c r="E27" s="108" t="str">
        <f>"0,50"</f>
        <v>0,50</v>
      </c>
      <c r="F27" s="108"/>
      <c r="G27" s="109" t="str">
        <f>IF(G24=0.5,"",IF(N25="","",IF(OR(N25=C81,N25=C82,N25=C83,N25=C85),N25,"")))</f>
        <v/>
      </c>
      <c r="H27" s="110"/>
      <c r="J27" s="75"/>
      <c r="K27" s="76"/>
      <c r="L27" s="77"/>
      <c r="S27" s="3" t="s">
        <v>114</v>
      </c>
      <c r="T27" s="3">
        <v>10</v>
      </c>
      <c r="U27" s="3">
        <v>11.5</v>
      </c>
      <c r="V27" s="3">
        <f t="shared" si="0"/>
        <v>26749.000000000004</v>
      </c>
      <c r="W27" s="3">
        <v>2</v>
      </c>
      <c r="X27" s="3">
        <v>2</v>
      </c>
      <c r="Y27" s="3">
        <v>0</v>
      </c>
      <c r="Z27" s="3">
        <v>118</v>
      </c>
      <c r="AA27" s="3">
        <f t="shared" si="1"/>
        <v>47.777777777777779</v>
      </c>
      <c r="AB27" s="3">
        <v>306</v>
      </c>
      <c r="AC27" s="3">
        <f t="shared" si="2"/>
        <v>152.22222222222223</v>
      </c>
    </row>
    <row r="28" spans="1:29">
      <c r="A28" s="113" t="s">
        <v>44</v>
      </c>
      <c r="B28" s="114"/>
      <c r="C28" s="114"/>
      <c r="D28" s="114"/>
      <c r="E28" s="108" t="str">
        <f>"0,30"</f>
        <v>0,30</v>
      </c>
      <c r="F28" s="108"/>
      <c r="G28" s="109" t="str">
        <f>IF(G24=0.5,"",IF(N25="","",IF(N25=C86,C86,"")))</f>
        <v/>
      </c>
      <c r="H28" s="110"/>
      <c r="J28" s="75"/>
      <c r="K28" s="76"/>
      <c r="L28" s="77"/>
      <c r="S28" s="3" t="s">
        <v>115</v>
      </c>
      <c r="T28" s="3">
        <v>10</v>
      </c>
      <c r="U28" s="3">
        <v>15</v>
      </c>
      <c r="V28" s="3">
        <f t="shared" si="0"/>
        <v>34890</v>
      </c>
      <c r="W28" s="3">
        <v>3</v>
      </c>
      <c r="X28" s="3">
        <v>2</v>
      </c>
      <c r="Y28" s="3">
        <v>0</v>
      </c>
      <c r="Z28" s="3">
        <v>158</v>
      </c>
      <c r="AA28" s="3">
        <f t="shared" si="1"/>
        <v>70</v>
      </c>
      <c r="AB28" s="3">
        <v>364</v>
      </c>
      <c r="AC28" s="3">
        <f t="shared" si="2"/>
        <v>184.44444444444446</v>
      </c>
    </row>
    <row r="29" spans="1:29" ht="15" thickBot="1">
      <c r="A29" s="113" t="s">
        <v>45</v>
      </c>
      <c r="B29" s="114"/>
      <c r="C29" s="114"/>
      <c r="D29" s="114"/>
      <c r="E29" s="108" t="str">
        <f>"0,80"</f>
        <v>0,80</v>
      </c>
      <c r="F29" s="108"/>
      <c r="G29" s="109" t="str">
        <f>IF(G24=0.5,"",IF(N25="","",IF(N25=C84,N25,"")))</f>
        <v/>
      </c>
      <c r="H29" s="110"/>
      <c r="J29" s="78"/>
      <c r="K29" s="79"/>
      <c r="L29" s="80"/>
      <c r="S29" s="3" t="s">
        <v>116</v>
      </c>
      <c r="T29" s="3">
        <v>14</v>
      </c>
      <c r="V29" s="3" t="str">
        <f t="shared" si="0"/>
        <v/>
      </c>
      <c r="W29" s="3">
        <v>2</v>
      </c>
      <c r="X29" s="3">
        <v>0</v>
      </c>
      <c r="Y29" s="3">
        <v>1</v>
      </c>
      <c r="AA29" s="3" t="str">
        <f t="shared" si="1"/>
        <v/>
      </c>
      <c r="AC29" s="3" t="str">
        <f t="shared" si="2"/>
        <v/>
      </c>
    </row>
    <row r="30" spans="1:29" ht="15" thickBot="1">
      <c r="A30" s="103" t="s">
        <v>46</v>
      </c>
      <c r="B30" s="104"/>
      <c r="C30" s="104"/>
      <c r="D30" s="104"/>
      <c r="E30" s="107" t="s">
        <v>73</v>
      </c>
      <c r="F30" s="108"/>
      <c r="G30" s="109" t="str">
        <f>IF(J30="","",VLOOKUP(J30,B89:C93,2))</f>
        <v/>
      </c>
      <c r="H30" s="110"/>
      <c r="J30" s="63"/>
      <c r="K30" s="71"/>
      <c r="L30" s="64"/>
      <c r="S30" s="3" t="s">
        <v>117</v>
      </c>
      <c r="T30" s="3">
        <v>4</v>
      </c>
      <c r="U30" s="3">
        <v>8.9</v>
      </c>
      <c r="V30" s="3">
        <f t="shared" si="0"/>
        <v>20701.400000000001</v>
      </c>
      <c r="W30" s="3">
        <v>0</v>
      </c>
      <c r="X30" s="3">
        <v>1</v>
      </c>
      <c r="Y30" s="3">
        <v>0</v>
      </c>
      <c r="AA30" s="3" t="str">
        <f t="shared" si="1"/>
        <v/>
      </c>
      <c r="AC30" s="3" t="str">
        <f t="shared" si="2"/>
        <v/>
      </c>
    </row>
    <row r="31" spans="1:29">
      <c r="A31" s="144" t="s">
        <v>47</v>
      </c>
      <c r="B31" s="145"/>
      <c r="C31" s="145"/>
      <c r="D31" s="146"/>
      <c r="E31" s="108"/>
      <c r="F31" s="108"/>
      <c r="G31" s="109" t="str">
        <f>IF(G24=0.5,"",IF(K58="","",ROUND(K58,2)))</f>
        <v/>
      </c>
      <c r="H31" s="110"/>
      <c r="J31" s="72" t="s">
        <v>506</v>
      </c>
      <c r="K31" s="73"/>
      <c r="L31" s="74"/>
      <c r="N31" s="3">
        <f>IF(J31="",1,VLOOKUP(J31,E81:F85,2))</f>
        <v>1</v>
      </c>
      <c r="S31" s="3" t="s">
        <v>118</v>
      </c>
      <c r="T31" s="3">
        <v>10</v>
      </c>
      <c r="U31" s="3">
        <v>13.7</v>
      </c>
      <c r="V31" s="3">
        <f t="shared" si="0"/>
        <v>31866.2</v>
      </c>
      <c r="W31" s="3">
        <v>2</v>
      </c>
      <c r="X31" s="3">
        <v>2</v>
      </c>
      <c r="Y31" s="3">
        <v>0</v>
      </c>
      <c r="Z31" s="3">
        <v>148</v>
      </c>
      <c r="AA31" s="3">
        <f t="shared" si="1"/>
        <v>64.444444444444443</v>
      </c>
      <c r="AB31" s="3">
        <v>354</v>
      </c>
      <c r="AC31" s="3">
        <f t="shared" si="2"/>
        <v>178.88888888888889</v>
      </c>
    </row>
    <row r="32" spans="1:29">
      <c r="A32" s="142" t="s">
        <v>48</v>
      </c>
      <c r="B32" s="143"/>
      <c r="C32" s="17" t="str">
        <f>IF(METRYKA!C28="","",METRYKA!C28)</f>
        <v/>
      </c>
      <c r="D32" s="4" t="s">
        <v>50</v>
      </c>
      <c r="E32" s="108"/>
      <c r="F32" s="108"/>
      <c r="G32" s="109"/>
      <c r="H32" s="110"/>
      <c r="J32" s="75"/>
      <c r="K32" s="76"/>
      <c r="L32" s="77"/>
      <c r="S32" s="3" t="s">
        <v>119</v>
      </c>
      <c r="T32" s="3">
        <v>16</v>
      </c>
      <c r="U32" s="3">
        <v>17.3</v>
      </c>
      <c r="V32" s="3">
        <f t="shared" si="0"/>
        <v>40239.800000000003</v>
      </c>
      <c r="W32" s="3">
        <v>2</v>
      </c>
      <c r="X32" s="3">
        <v>3</v>
      </c>
      <c r="Y32" s="3">
        <v>0</v>
      </c>
      <c r="Z32" s="3">
        <v>12</v>
      </c>
      <c r="AA32" s="3">
        <f t="shared" si="1"/>
        <v>-11.111111111111111</v>
      </c>
      <c r="AB32" s="3">
        <v>176</v>
      </c>
      <c r="AC32" s="3">
        <f t="shared" si="2"/>
        <v>80</v>
      </c>
    </row>
    <row r="33" spans="1:29" ht="15" thickBot="1">
      <c r="A33" s="147" t="s">
        <v>49</v>
      </c>
      <c r="B33" s="148"/>
      <c r="C33" s="18" t="str">
        <f>IF(METRYKA!C30="","",METRYKA!C30)</f>
        <v/>
      </c>
      <c r="D33" s="5" t="s">
        <v>50</v>
      </c>
      <c r="E33" s="108"/>
      <c r="F33" s="108"/>
      <c r="G33" s="109"/>
      <c r="H33" s="110"/>
      <c r="J33" s="78"/>
      <c r="K33" s="79"/>
      <c r="L33" s="80"/>
      <c r="S33" s="3" t="s">
        <v>120</v>
      </c>
      <c r="T33" s="3">
        <v>14</v>
      </c>
      <c r="U33" s="3">
        <v>11</v>
      </c>
      <c r="V33" s="3">
        <f t="shared" si="0"/>
        <v>25586.000000000004</v>
      </c>
      <c r="W33" s="3">
        <v>2</v>
      </c>
      <c r="X33" s="3">
        <v>1</v>
      </c>
      <c r="Y33" s="3">
        <v>1</v>
      </c>
      <c r="Z33" s="3">
        <v>250</v>
      </c>
      <c r="AA33" s="3">
        <f t="shared" si="1"/>
        <v>121.11111111111111</v>
      </c>
      <c r="AB33" s="3">
        <v>482</v>
      </c>
      <c r="AC33" s="3">
        <f t="shared" si="2"/>
        <v>250</v>
      </c>
    </row>
    <row r="34" spans="1:29" ht="15" thickBot="1">
      <c r="A34" s="103" t="s">
        <v>7</v>
      </c>
      <c r="B34" s="104"/>
      <c r="C34" s="104"/>
      <c r="D34" s="104"/>
      <c r="E34" s="107" t="s">
        <v>74</v>
      </c>
      <c r="F34" s="108"/>
      <c r="G34" s="109">
        <f>IF(J34="","",VLOOKUP(J34,E89:F91,2))</f>
        <v>0</v>
      </c>
      <c r="H34" s="110"/>
      <c r="J34" s="63" t="s">
        <v>510</v>
      </c>
      <c r="K34" s="71"/>
      <c r="L34" s="64"/>
      <c r="S34" s="3" t="s">
        <v>121</v>
      </c>
      <c r="T34" s="3">
        <v>4</v>
      </c>
      <c r="U34" s="3">
        <v>12.3</v>
      </c>
      <c r="V34" s="3">
        <f t="shared" si="0"/>
        <v>28609.800000000003</v>
      </c>
      <c r="W34" s="3">
        <v>1</v>
      </c>
      <c r="X34" s="3">
        <v>1</v>
      </c>
      <c r="Y34" s="3">
        <v>0</v>
      </c>
      <c r="Z34" s="3">
        <v>195</v>
      </c>
      <c r="AA34" s="3">
        <f t="shared" si="1"/>
        <v>90.555555555555557</v>
      </c>
      <c r="AB34" s="3">
        <v>417</v>
      </c>
      <c r="AC34" s="3">
        <f t="shared" si="2"/>
        <v>213.88888888888889</v>
      </c>
    </row>
    <row r="35" spans="1:29">
      <c r="A35" s="105" t="s">
        <v>53</v>
      </c>
      <c r="B35" s="106"/>
      <c r="C35" s="19" t="str">
        <f>IF(METRYKA!C24="","",METRYKA!C24)</f>
        <v/>
      </c>
      <c r="D35" s="6" t="s">
        <v>51</v>
      </c>
      <c r="E35" s="108"/>
      <c r="F35" s="108"/>
      <c r="G35" s="109"/>
      <c r="H35" s="110"/>
      <c r="I35" s="33" t="str">
        <f>IF(OR(C35="",C36=""),"",C35*C36*0.947817)</f>
        <v/>
      </c>
      <c r="J35" s="81" t="s">
        <v>511</v>
      </c>
      <c r="K35" s="82"/>
      <c r="L35" s="83"/>
      <c r="N35" s="3" t="str">
        <f>IF(J35="","",VLOOKUP(J35,B95:D100,3))</f>
        <v/>
      </c>
      <c r="S35" s="3" t="s">
        <v>122</v>
      </c>
      <c r="T35" s="3">
        <v>4</v>
      </c>
      <c r="U35" s="3">
        <v>13.8</v>
      </c>
      <c r="V35" s="3">
        <f t="shared" si="0"/>
        <v>32098.800000000003</v>
      </c>
      <c r="W35" s="3">
        <v>2</v>
      </c>
      <c r="X35" s="3">
        <v>1</v>
      </c>
      <c r="Y35" s="3">
        <v>0</v>
      </c>
      <c r="Z35" s="3">
        <v>200</v>
      </c>
      <c r="AA35" s="3">
        <f t="shared" si="1"/>
        <v>93.333333333333329</v>
      </c>
      <c r="AB35" s="3">
        <v>403</v>
      </c>
      <c r="AC35" s="3">
        <f t="shared" si="2"/>
        <v>206.11111111111111</v>
      </c>
    </row>
    <row r="36" spans="1:29" ht="14.25" customHeight="1" thickBot="1">
      <c r="A36" s="105"/>
      <c r="B36" s="106"/>
      <c r="C36" s="20">
        <f>IF(METRYKA!I13="","",ROUND(METRYKA!I13,0))</f>
        <v>0</v>
      </c>
      <c r="D36" s="5" t="s">
        <v>52</v>
      </c>
      <c r="E36" s="108"/>
      <c r="F36" s="108"/>
      <c r="G36" s="109"/>
      <c r="H36" s="110"/>
      <c r="I36" s="33" t="str">
        <f>IF(I35="","",I35/1000000000)</f>
        <v/>
      </c>
      <c r="J36" s="84"/>
      <c r="K36" s="85"/>
      <c r="L36" s="86"/>
      <c r="S36" s="3" t="s">
        <v>123</v>
      </c>
      <c r="T36" s="3">
        <v>14</v>
      </c>
      <c r="U36" s="3">
        <v>12.6</v>
      </c>
      <c r="V36" s="3">
        <f t="shared" si="0"/>
        <v>29307.600000000002</v>
      </c>
      <c r="W36" s="3">
        <v>2</v>
      </c>
      <c r="X36" s="3">
        <v>2</v>
      </c>
      <c r="Y36" s="3">
        <v>1</v>
      </c>
      <c r="Z36" s="3">
        <v>162</v>
      </c>
      <c r="AA36" s="3">
        <f t="shared" si="1"/>
        <v>72.222222222222229</v>
      </c>
      <c r="AB36" s="3">
        <v>387</v>
      </c>
      <c r="AC36" s="3">
        <f t="shared" si="2"/>
        <v>197.22222222222223</v>
      </c>
    </row>
    <row r="37" spans="1:29">
      <c r="A37" s="103" t="s">
        <v>54</v>
      </c>
      <c r="B37" s="104"/>
      <c r="C37" s="104"/>
      <c r="D37" s="104"/>
      <c r="E37" s="108"/>
      <c r="F37" s="108"/>
      <c r="G37" s="109" t="e">
        <f>IF(J35="","",IF(J35=B95,ROUND(N35,2),""))</f>
        <v>#VALUE!</v>
      </c>
      <c r="H37" s="110"/>
      <c r="S37" s="3" t="s">
        <v>124</v>
      </c>
      <c r="T37" s="3">
        <v>40</v>
      </c>
      <c r="U37" s="3">
        <v>12</v>
      </c>
      <c r="V37" s="3">
        <f t="shared" si="0"/>
        <v>27912</v>
      </c>
      <c r="W37" s="3">
        <v>1</v>
      </c>
      <c r="X37" s="3">
        <v>3</v>
      </c>
      <c r="Y37" s="3">
        <v>4</v>
      </c>
      <c r="AA37" s="3" t="str">
        <f t="shared" si="1"/>
        <v/>
      </c>
      <c r="AC37" s="3" t="str">
        <f t="shared" si="2"/>
        <v/>
      </c>
    </row>
    <row r="38" spans="1:29">
      <c r="A38" s="103" t="s">
        <v>55</v>
      </c>
      <c r="B38" s="104"/>
      <c r="C38" s="104"/>
      <c r="D38" s="104"/>
      <c r="E38" s="108"/>
      <c r="F38" s="108"/>
      <c r="G38" s="109" t="str">
        <f>IF(J35="","",IF(OR(J35=B96,J35=B99,J35=B100),N35,""))</f>
        <v/>
      </c>
      <c r="H38" s="110"/>
      <c r="S38" s="3" t="s">
        <v>125</v>
      </c>
      <c r="T38" s="3">
        <v>14</v>
      </c>
      <c r="U38" s="3">
        <v>14.1</v>
      </c>
      <c r="V38" s="3">
        <f t="shared" si="0"/>
        <v>32796.6</v>
      </c>
      <c r="W38" s="3">
        <v>2</v>
      </c>
      <c r="X38" s="3">
        <v>1</v>
      </c>
      <c r="Y38" s="3">
        <v>1</v>
      </c>
      <c r="Z38" s="3">
        <v>175</v>
      </c>
      <c r="AA38" s="3">
        <f t="shared" si="1"/>
        <v>79.444444444444443</v>
      </c>
      <c r="AB38" s="3">
        <v>428</v>
      </c>
      <c r="AC38" s="3">
        <f t="shared" si="2"/>
        <v>220</v>
      </c>
    </row>
    <row r="39" spans="1:29" ht="15" thickBot="1">
      <c r="A39" s="103" t="s">
        <v>56</v>
      </c>
      <c r="B39" s="104"/>
      <c r="C39" s="104"/>
      <c r="D39" s="104"/>
      <c r="E39" s="108"/>
      <c r="F39" s="108"/>
      <c r="G39" s="109" t="str">
        <f>IF(J35="","",IF(OR(J35=B97,J35=B98),ROUND(N35,2),""))</f>
        <v/>
      </c>
      <c r="H39" s="110"/>
      <c r="S39" s="3" t="s">
        <v>126</v>
      </c>
      <c r="T39" s="3">
        <v>1</v>
      </c>
      <c r="U39" s="3">
        <v>0</v>
      </c>
      <c r="V39" s="3">
        <f t="shared" si="0"/>
        <v>0</v>
      </c>
      <c r="W39" s="3">
        <v>3</v>
      </c>
      <c r="X39" s="3">
        <v>0</v>
      </c>
      <c r="Y39" s="3">
        <v>0</v>
      </c>
      <c r="AA39" s="3" t="str">
        <f t="shared" si="1"/>
        <v/>
      </c>
      <c r="AB39" s="3">
        <v>138</v>
      </c>
      <c r="AC39" s="3">
        <f t="shared" si="2"/>
        <v>58.888888888888886</v>
      </c>
    </row>
    <row r="40" spans="1:29" ht="15" thickBot="1">
      <c r="A40" s="113" t="s">
        <v>8</v>
      </c>
      <c r="B40" s="114"/>
      <c r="C40" s="114"/>
      <c r="D40" s="114"/>
      <c r="E40" s="107" t="s">
        <v>75</v>
      </c>
      <c r="F40" s="108"/>
      <c r="G40" s="109">
        <f>IF(K40="","",VLOOKUP(K40,B102:C106,2))</f>
        <v>0.1</v>
      </c>
      <c r="H40" s="110"/>
      <c r="J40" s="30" t="s">
        <v>522</v>
      </c>
      <c r="K40" s="81" t="s">
        <v>517</v>
      </c>
      <c r="L40" s="83"/>
      <c r="S40" s="3" t="s">
        <v>127</v>
      </c>
      <c r="T40" s="3">
        <v>10</v>
      </c>
      <c r="U40" s="3">
        <v>8.1</v>
      </c>
      <c r="V40" s="3">
        <f t="shared" si="0"/>
        <v>18840.599999999999</v>
      </c>
      <c r="W40" s="3">
        <v>2</v>
      </c>
      <c r="X40" s="3">
        <v>2</v>
      </c>
      <c r="Y40" s="3">
        <v>0</v>
      </c>
      <c r="Z40" s="3">
        <v>124</v>
      </c>
      <c r="AA40" s="3">
        <f t="shared" si="1"/>
        <v>51.111111111111114</v>
      </c>
      <c r="AB40" s="3">
        <v>313</v>
      </c>
      <c r="AC40" s="3">
        <f t="shared" si="2"/>
        <v>156.11111111111111</v>
      </c>
    </row>
    <row r="41" spans="1:29" ht="15" thickBot="1">
      <c r="A41" s="113" t="s">
        <v>57</v>
      </c>
      <c r="B41" s="114"/>
      <c r="C41" s="114"/>
      <c r="D41" s="114"/>
      <c r="E41" s="107" t="s">
        <v>76</v>
      </c>
      <c r="F41" s="108"/>
      <c r="G41" s="109">
        <f>IF(J41="","",VLOOKUP(J41,F94:G98,2))</f>
        <v>0.1</v>
      </c>
      <c r="H41" s="110"/>
      <c r="J41" s="63" t="s">
        <v>523</v>
      </c>
      <c r="K41" s="71"/>
      <c r="L41" s="71"/>
      <c r="M41" s="64"/>
      <c r="S41" s="3" t="s">
        <v>128</v>
      </c>
      <c r="T41" s="3">
        <v>10</v>
      </c>
      <c r="U41" s="3">
        <v>8.5</v>
      </c>
      <c r="V41" s="3">
        <f t="shared" si="0"/>
        <v>19771</v>
      </c>
      <c r="W41" s="3">
        <v>2</v>
      </c>
      <c r="X41" s="3">
        <v>2</v>
      </c>
      <c r="Y41" s="3">
        <v>0</v>
      </c>
      <c r="Z41" s="3">
        <v>174</v>
      </c>
      <c r="AA41" s="3">
        <f t="shared" si="1"/>
        <v>78.888888888888886</v>
      </c>
      <c r="AB41" s="3">
        <v>359</v>
      </c>
      <c r="AC41" s="3">
        <f t="shared" si="2"/>
        <v>181.66666666666666</v>
      </c>
    </row>
    <row r="42" spans="1:29" ht="15" thickBot="1">
      <c r="A42" s="113" t="s">
        <v>58</v>
      </c>
      <c r="B42" s="114"/>
      <c r="C42" s="114"/>
      <c r="D42" s="114"/>
      <c r="E42" s="108"/>
      <c r="F42" s="108"/>
      <c r="G42" s="109">
        <f>IF(OR(J42="",L42=""),"",ROUND(VLOOKUP(L42,E102:G105,3),2))</f>
        <v>0</v>
      </c>
      <c r="H42" s="110"/>
      <c r="I42" s="35" t="s">
        <v>539</v>
      </c>
      <c r="J42" s="31">
        <v>10</v>
      </c>
      <c r="K42" s="3" t="s">
        <v>531</v>
      </c>
      <c r="L42" s="87" t="s">
        <v>529</v>
      </c>
      <c r="M42" s="88"/>
      <c r="S42" s="3" t="s">
        <v>129</v>
      </c>
      <c r="T42" s="3">
        <v>24</v>
      </c>
      <c r="U42" s="3">
        <v>19.2</v>
      </c>
      <c r="V42" s="3">
        <f t="shared" si="0"/>
        <v>44659.199999999997</v>
      </c>
      <c r="W42" s="3">
        <v>2</v>
      </c>
      <c r="X42" s="3">
        <v>4</v>
      </c>
      <c r="Y42" s="3">
        <v>2</v>
      </c>
      <c r="Z42" s="3">
        <v>-105</v>
      </c>
      <c r="AA42" s="3">
        <f t="shared" si="1"/>
        <v>-76.111111111111114</v>
      </c>
      <c r="AB42" s="3">
        <v>24</v>
      </c>
      <c r="AC42" s="3">
        <f t="shared" si="2"/>
        <v>-4.4444444444444446</v>
      </c>
    </row>
    <row r="43" spans="1:29" ht="15" thickBot="1">
      <c r="A43" s="113" t="s">
        <v>60</v>
      </c>
      <c r="B43" s="114"/>
      <c r="C43" s="114"/>
      <c r="D43" s="114"/>
      <c r="E43" s="107" t="s">
        <v>77</v>
      </c>
      <c r="F43" s="108"/>
      <c r="G43" s="109">
        <f>IF(L43="","",ROUND(VLOOKUP(L43,B108:D110,3),2))</f>
        <v>0</v>
      </c>
      <c r="H43" s="110"/>
      <c r="I43" s="35" t="s">
        <v>540</v>
      </c>
      <c r="J43" s="31">
        <v>50</v>
      </c>
      <c r="K43" s="3" t="s">
        <v>538</v>
      </c>
      <c r="L43" s="63" t="s">
        <v>535</v>
      </c>
      <c r="M43" s="64"/>
      <c r="S43" s="3" t="s">
        <v>130</v>
      </c>
      <c r="T43" s="3">
        <v>21</v>
      </c>
      <c r="U43" s="3">
        <v>19.7</v>
      </c>
      <c r="V43" s="3">
        <f t="shared" si="0"/>
        <v>45822.200000000004</v>
      </c>
      <c r="W43" s="3">
        <v>1</v>
      </c>
      <c r="X43" s="3">
        <v>4</v>
      </c>
      <c r="Y43" s="3">
        <v>0</v>
      </c>
      <c r="Z43" s="3">
        <v>-76</v>
      </c>
      <c r="AA43" s="3">
        <f t="shared" si="1"/>
        <v>-60</v>
      </c>
      <c r="AB43" s="3">
        <v>31</v>
      </c>
      <c r="AC43" s="3">
        <f t="shared" si="2"/>
        <v>-0.55555555555555558</v>
      </c>
    </row>
    <row r="44" spans="1:29">
      <c r="A44" s="113" t="s">
        <v>9</v>
      </c>
      <c r="B44" s="114"/>
      <c r="C44" s="114"/>
      <c r="D44" s="114"/>
      <c r="E44" s="108" t="str">
        <f>"0,50"</f>
        <v>0,50</v>
      </c>
      <c r="F44" s="108"/>
      <c r="G44" s="109">
        <f>IF(I44=TRUE,0.5,0)</f>
        <v>0</v>
      </c>
      <c r="H44" s="110"/>
      <c r="I44" s="32" t="b">
        <v>0</v>
      </c>
      <c r="S44" s="3" t="s">
        <v>131</v>
      </c>
      <c r="T44" s="3">
        <v>16</v>
      </c>
      <c r="U44" s="3">
        <v>14.3</v>
      </c>
      <c r="V44" s="3">
        <f t="shared" si="0"/>
        <v>33261.800000000003</v>
      </c>
      <c r="W44" s="3">
        <v>1</v>
      </c>
      <c r="X44" s="3">
        <v>3</v>
      </c>
      <c r="Y44" s="3">
        <v>0</v>
      </c>
      <c r="Z44" s="3">
        <v>84</v>
      </c>
      <c r="AA44" s="3">
        <f t="shared" si="1"/>
        <v>28.888888888888889</v>
      </c>
      <c r="AB44" s="3">
        <v>243</v>
      </c>
      <c r="AC44" s="3">
        <f t="shared" si="2"/>
        <v>117.22222222222223</v>
      </c>
    </row>
    <row r="45" spans="1:29" ht="19.5" customHeight="1">
      <c r="A45" s="115" t="s">
        <v>10</v>
      </c>
      <c r="B45" s="108"/>
      <c r="C45" s="108"/>
      <c r="D45" s="108"/>
      <c r="E45" s="108"/>
      <c r="F45" s="108"/>
      <c r="G45" s="125" t="e">
        <f>SUM(G22:H44)</f>
        <v>#VALUE!</v>
      </c>
      <c r="H45" s="126"/>
      <c r="S45" s="3" t="s">
        <v>138</v>
      </c>
      <c r="T45" s="3">
        <v>24</v>
      </c>
      <c r="U45" s="3">
        <v>14.3</v>
      </c>
      <c r="V45" s="3">
        <f t="shared" si="0"/>
        <v>33261.800000000003</v>
      </c>
      <c r="W45" s="3">
        <v>2</v>
      </c>
      <c r="X45" s="3">
        <v>3</v>
      </c>
      <c r="Y45" s="3">
        <v>2</v>
      </c>
      <c r="Z45" s="3">
        <v>5</v>
      </c>
      <c r="AA45" s="3">
        <f t="shared" si="1"/>
        <v>-15</v>
      </c>
      <c r="AB45" s="3">
        <v>149</v>
      </c>
      <c r="AC45" s="3">
        <f t="shared" si="2"/>
        <v>65</v>
      </c>
    </row>
    <row r="46" spans="1:29" ht="19.5" customHeight="1" thickBot="1">
      <c r="A46" s="167" t="s">
        <v>61</v>
      </c>
      <c r="B46" s="108"/>
      <c r="C46" s="108"/>
      <c r="D46" s="108"/>
      <c r="E46" s="108"/>
      <c r="F46" s="108"/>
      <c r="G46" s="125" t="e">
        <f>IF(G19*G45&gt;8,CONCATENATE(I46," (",J46," )"),J46)</f>
        <v>#VALUE!</v>
      </c>
      <c r="H46" s="126"/>
      <c r="I46" s="32" t="e">
        <f>IF(G19*G45&gt;8,8,G19*G45)</f>
        <v>#VALUE!</v>
      </c>
      <c r="J46" s="32" t="e">
        <f>ROUND(G19*G45,2)</f>
        <v>#VALUE!</v>
      </c>
      <c r="S46" s="3" t="s">
        <v>132</v>
      </c>
      <c r="T46" s="3">
        <v>21</v>
      </c>
      <c r="U46" s="3">
        <v>19.5</v>
      </c>
      <c r="V46" s="3">
        <f t="shared" si="0"/>
        <v>45357</v>
      </c>
      <c r="W46" s="3">
        <v>1</v>
      </c>
      <c r="X46" s="3">
        <v>4</v>
      </c>
      <c r="Y46" s="3">
        <v>0</v>
      </c>
      <c r="AA46" s="3" t="str">
        <f t="shared" si="1"/>
        <v/>
      </c>
      <c r="AB46" s="3">
        <v>21</v>
      </c>
      <c r="AC46" s="3">
        <f t="shared" si="2"/>
        <v>-6.1111111111111107</v>
      </c>
    </row>
    <row r="47" spans="1:29">
      <c r="A47" s="149" t="s">
        <v>62</v>
      </c>
      <c r="B47" s="150"/>
      <c r="C47" s="150"/>
      <c r="D47" s="150"/>
      <c r="E47" s="153" t="s">
        <v>64</v>
      </c>
      <c r="F47" s="154"/>
      <c r="G47" s="156" t="e">
        <f>J46*F9</f>
        <v>#VALUE!</v>
      </c>
      <c r="H47" s="157"/>
      <c r="J47" s="65" t="e">
        <f>IF(G47="","",IF(G47&lt;60,"Zagrożenie lekkie",IF(G47&lt;96,"Zagrożenie umiarkowane",IF(G47&lt;127,"Zagrożenie średnie",IF(G47&lt;158,"Zagrożenie silne","Zagrożenie poważne")))))</f>
        <v>#VALUE!</v>
      </c>
      <c r="K47" s="66"/>
      <c r="L47" s="67"/>
      <c r="S47" s="3" t="s">
        <v>140</v>
      </c>
      <c r="T47" s="3">
        <v>40</v>
      </c>
      <c r="U47" s="3">
        <v>11.9</v>
      </c>
      <c r="V47" s="3">
        <f t="shared" si="0"/>
        <v>27679.4</v>
      </c>
      <c r="W47" s="3">
        <v>1</v>
      </c>
      <c r="X47" s="3">
        <v>4</v>
      </c>
      <c r="Y47" s="3">
        <v>4</v>
      </c>
      <c r="Z47" s="3">
        <v>80</v>
      </c>
      <c r="AA47" s="3">
        <f t="shared" si="1"/>
        <v>26.666666666666668</v>
      </c>
      <c r="AC47" s="3" t="str">
        <f t="shared" si="2"/>
        <v/>
      </c>
    </row>
    <row r="48" spans="1:29" ht="15" thickBot="1">
      <c r="A48" s="151" t="s">
        <v>63</v>
      </c>
      <c r="B48" s="152"/>
      <c r="C48" s="152"/>
      <c r="D48" s="152"/>
      <c r="E48" s="152"/>
      <c r="F48" s="155"/>
      <c r="G48" s="158"/>
      <c r="H48" s="159"/>
      <c r="J48" s="68"/>
      <c r="K48" s="69"/>
      <c r="L48" s="70"/>
      <c r="S48" s="3" t="s">
        <v>142</v>
      </c>
      <c r="T48" s="3">
        <v>40</v>
      </c>
      <c r="U48" s="3">
        <v>10.6</v>
      </c>
      <c r="V48" s="3">
        <f t="shared" si="0"/>
        <v>24655.599999999999</v>
      </c>
      <c r="W48" s="3">
        <v>2</v>
      </c>
      <c r="X48" s="3">
        <v>3</v>
      </c>
      <c r="Y48" s="3">
        <v>4</v>
      </c>
      <c r="Z48" s="3">
        <v>80</v>
      </c>
      <c r="AA48" s="3">
        <f t="shared" si="1"/>
        <v>26.666666666666668</v>
      </c>
      <c r="AC48" s="3" t="str">
        <f t="shared" si="2"/>
        <v/>
      </c>
    </row>
    <row r="49" spans="1:29">
      <c r="A49" s="160" t="s">
        <v>78</v>
      </c>
      <c r="B49" s="118"/>
      <c r="C49" s="118"/>
      <c r="D49" s="108" t="e">
        <f>ROUND(G47*0.84*0.305,2)</f>
        <v>#VALUE!</v>
      </c>
      <c r="E49" s="108"/>
      <c r="F49" s="164" t="s">
        <v>72</v>
      </c>
      <c r="G49" s="164"/>
      <c r="H49" s="116" t="e">
        <f>ROUND(G111,3)</f>
        <v>#VALUE!</v>
      </c>
      <c r="S49" s="3" t="s">
        <v>143</v>
      </c>
      <c r="T49" s="3">
        <v>40</v>
      </c>
      <c r="U49" s="3">
        <v>12.2</v>
      </c>
      <c r="V49" s="3">
        <f t="shared" si="0"/>
        <v>28377.199999999997</v>
      </c>
      <c r="W49" s="3">
        <v>1</v>
      </c>
      <c r="X49" s="3">
        <v>3</v>
      </c>
      <c r="Y49" s="3">
        <v>4</v>
      </c>
      <c r="Z49" s="3">
        <v>190</v>
      </c>
      <c r="AA49" s="3">
        <f t="shared" si="1"/>
        <v>87.777777777777771</v>
      </c>
      <c r="AC49" s="3" t="str">
        <f t="shared" si="2"/>
        <v/>
      </c>
    </row>
    <row r="50" spans="1:29" ht="15" thickBot="1">
      <c r="A50" s="161"/>
      <c r="B50" s="162"/>
      <c r="C50" s="162"/>
      <c r="D50" s="163"/>
      <c r="E50" s="163"/>
      <c r="F50" s="165"/>
      <c r="G50" s="165"/>
      <c r="H50" s="166"/>
      <c r="S50" s="3" t="s">
        <v>144</v>
      </c>
      <c r="T50" s="3">
        <v>29</v>
      </c>
      <c r="U50" s="3">
        <v>14.5</v>
      </c>
      <c r="V50" s="3">
        <f t="shared" si="0"/>
        <v>33727.000000000007</v>
      </c>
      <c r="W50" s="3">
        <v>1</v>
      </c>
      <c r="X50" s="3">
        <v>3</v>
      </c>
      <c r="Y50" s="3">
        <v>3</v>
      </c>
      <c r="Z50" s="3">
        <v>64</v>
      </c>
      <c r="AA50" s="3">
        <f t="shared" si="1"/>
        <v>17.777777777777779</v>
      </c>
      <c r="AB50" s="3">
        <v>179</v>
      </c>
      <c r="AC50" s="3">
        <f t="shared" si="2"/>
        <v>81.666666666666671</v>
      </c>
    </row>
    <row r="51" spans="1:29">
      <c r="A51" s="1"/>
      <c r="B51" s="1"/>
      <c r="C51" s="1"/>
      <c r="D51" s="1"/>
      <c r="E51" s="1"/>
      <c r="F51" s="1"/>
      <c r="G51" s="1"/>
      <c r="H51" s="1"/>
      <c r="S51" s="3" t="s">
        <v>133</v>
      </c>
      <c r="T51" s="3">
        <v>16</v>
      </c>
      <c r="U51" s="3">
        <v>12.2</v>
      </c>
      <c r="V51" s="3">
        <f t="shared" si="0"/>
        <v>28377.199999999997</v>
      </c>
      <c r="W51" s="3">
        <v>1</v>
      </c>
      <c r="X51" s="3">
        <v>3</v>
      </c>
      <c r="Y51" s="3">
        <v>0</v>
      </c>
      <c r="Z51" s="3">
        <v>72</v>
      </c>
      <c r="AA51" s="3">
        <f t="shared" si="1"/>
        <v>22.222222222222221</v>
      </c>
      <c r="AB51" s="3">
        <v>260</v>
      </c>
      <c r="AC51" s="3">
        <f t="shared" si="2"/>
        <v>126.66666666666667</v>
      </c>
    </row>
    <row r="52" spans="1:29">
      <c r="A52" s="1"/>
      <c r="B52" s="1"/>
      <c r="C52" s="1"/>
      <c r="D52" s="1"/>
      <c r="E52" s="1"/>
      <c r="F52" s="1"/>
      <c r="G52" s="1"/>
      <c r="H52" s="1"/>
      <c r="S52" s="3" t="s">
        <v>134</v>
      </c>
      <c r="T52" s="3">
        <v>24</v>
      </c>
      <c r="U52" s="3">
        <v>14.2</v>
      </c>
      <c r="V52" s="3">
        <f t="shared" si="0"/>
        <v>33029.199999999997</v>
      </c>
      <c r="W52" s="3">
        <v>2</v>
      </c>
      <c r="X52" s="3">
        <v>2</v>
      </c>
      <c r="Y52" s="3">
        <v>2</v>
      </c>
      <c r="Z52" s="3">
        <v>103</v>
      </c>
      <c r="AA52" s="3">
        <f t="shared" si="1"/>
        <v>39.444444444444443</v>
      </c>
      <c r="AB52" s="3">
        <v>300</v>
      </c>
      <c r="AC52" s="3">
        <f t="shared" si="2"/>
        <v>148.88888888888889</v>
      </c>
    </row>
    <row r="53" spans="1:29" hidden="1">
      <c r="S53" s="3" t="s">
        <v>136</v>
      </c>
      <c r="T53" s="3">
        <v>16</v>
      </c>
      <c r="U53" s="3">
        <v>7.6</v>
      </c>
      <c r="V53" s="3">
        <f t="shared" si="0"/>
        <v>17677.599999999999</v>
      </c>
      <c r="W53" s="3">
        <v>2</v>
      </c>
      <c r="X53" s="3">
        <v>3</v>
      </c>
      <c r="Y53" s="3">
        <v>0</v>
      </c>
      <c r="Z53" s="3">
        <v>65</v>
      </c>
      <c r="AA53" s="3">
        <f t="shared" si="1"/>
        <v>18.333333333333332</v>
      </c>
      <c r="AB53" s="3">
        <v>215</v>
      </c>
      <c r="AC53" s="3">
        <f t="shared" si="2"/>
        <v>101.66666666666667</v>
      </c>
    </row>
    <row r="54" spans="1:29" hidden="1">
      <c r="B54" s="3" t="s">
        <v>453</v>
      </c>
      <c r="D54" s="3">
        <v>0.5</v>
      </c>
      <c r="F54" s="3" t="s">
        <v>465</v>
      </c>
      <c r="G54" s="3">
        <v>0.2</v>
      </c>
      <c r="S54" s="3" t="s">
        <v>137</v>
      </c>
      <c r="T54" s="3">
        <v>16</v>
      </c>
      <c r="U54" s="3">
        <v>11.4</v>
      </c>
      <c r="V54" s="3">
        <f t="shared" si="0"/>
        <v>26516.400000000001</v>
      </c>
      <c r="W54" s="3">
        <v>2</v>
      </c>
      <c r="X54" s="3">
        <v>3</v>
      </c>
      <c r="Y54" s="3">
        <v>0</v>
      </c>
      <c r="Z54" s="3">
        <v>15</v>
      </c>
      <c r="AA54" s="3">
        <f t="shared" si="1"/>
        <v>-9.4444444444444446</v>
      </c>
      <c r="AB54" s="3">
        <v>170</v>
      </c>
      <c r="AC54" s="3">
        <f t="shared" si="2"/>
        <v>76.666666666666671</v>
      </c>
    </row>
    <row r="55" spans="1:29" hidden="1">
      <c r="B55" s="3" t="s">
        <v>461</v>
      </c>
      <c r="D55" s="3">
        <v>1</v>
      </c>
      <c r="F55" s="3" t="s">
        <v>466</v>
      </c>
      <c r="G55" s="3">
        <v>0.2</v>
      </c>
      <c r="J55" s="3" t="s">
        <v>499</v>
      </c>
      <c r="K55" s="3" t="str">
        <f>IF(METRYKA!C28="","",0.16109+1.61503*METRYKA!D28/1000-1.42879*(METRYKA!D28^2)/1000000+0.5172*(METRYKA!D28^3)/1000000000)</f>
        <v/>
      </c>
      <c r="S55" s="3" t="s">
        <v>139</v>
      </c>
      <c r="T55" s="3">
        <v>16</v>
      </c>
      <c r="U55" s="3">
        <v>16.3</v>
      </c>
      <c r="V55" s="3">
        <f t="shared" si="0"/>
        <v>37913.800000000003</v>
      </c>
      <c r="W55" s="3">
        <v>2</v>
      </c>
      <c r="X55" s="3">
        <v>3</v>
      </c>
      <c r="Y55" s="3">
        <v>1</v>
      </c>
      <c r="Z55" s="3">
        <v>92</v>
      </c>
      <c r="AA55" s="3">
        <f t="shared" si="1"/>
        <v>33.333333333333336</v>
      </c>
      <c r="AB55" s="3">
        <v>288</v>
      </c>
      <c r="AC55" s="3">
        <f t="shared" si="2"/>
        <v>142.22222222222223</v>
      </c>
    </row>
    <row r="56" spans="1:29" hidden="1">
      <c r="B56" s="3" t="s">
        <v>454</v>
      </c>
      <c r="D56" s="3">
        <v>0.5</v>
      </c>
      <c r="F56" s="3" t="s">
        <v>467</v>
      </c>
      <c r="G56" s="3">
        <v>0.2</v>
      </c>
      <c r="J56" s="3" t="s">
        <v>500</v>
      </c>
      <c r="K56" s="3" t="str">
        <f>IF(METRYKA!C30="","",0.16109+1.61503*METRYKA!D30/1000-1.42879*(METRYKA!D30^2)/1000000+0.5172*(METRYKA!D30^3)/1000000000)</f>
        <v/>
      </c>
      <c r="S56" s="3" t="s">
        <v>141</v>
      </c>
      <c r="T56" s="3">
        <v>29</v>
      </c>
      <c r="U56" s="3">
        <v>11.1</v>
      </c>
      <c r="V56" s="3">
        <f t="shared" si="0"/>
        <v>25818.6</v>
      </c>
      <c r="W56" s="3">
        <v>1</v>
      </c>
      <c r="X56" s="3">
        <v>3</v>
      </c>
      <c r="Y56" s="3">
        <v>3</v>
      </c>
      <c r="Z56" s="3">
        <v>97</v>
      </c>
      <c r="AA56" s="3">
        <f t="shared" si="1"/>
        <v>36.111111111111114</v>
      </c>
      <c r="AB56" s="3">
        <v>277</v>
      </c>
      <c r="AC56" s="3">
        <f t="shared" si="2"/>
        <v>136.11111111111111</v>
      </c>
    </row>
    <row r="57" spans="1:29" hidden="1">
      <c r="B57" s="3" t="s">
        <v>449</v>
      </c>
      <c r="D57" s="3">
        <v>0.3</v>
      </c>
      <c r="F57" s="3" t="s">
        <v>464</v>
      </c>
      <c r="G57" s="3">
        <v>0.4</v>
      </c>
      <c r="J57" s="3" t="s">
        <v>501</v>
      </c>
      <c r="K57" s="3">
        <f>N31</f>
        <v>1</v>
      </c>
      <c r="S57" s="3" t="s">
        <v>135</v>
      </c>
      <c r="T57" s="3">
        <v>16</v>
      </c>
      <c r="U57" s="3">
        <v>16.3</v>
      </c>
      <c r="V57" s="3">
        <f t="shared" si="0"/>
        <v>37913.800000000003</v>
      </c>
      <c r="W57" s="3">
        <v>3</v>
      </c>
      <c r="X57" s="3">
        <v>3</v>
      </c>
      <c r="Y57" s="3">
        <v>0</v>
      </c>
      <c r="Z57" s="3">
        <v>10</v>
      </c>
      <c r="AA57" s="3">
        <f t="shared" si="1"/>
        <v>-12.222222222222221</v>
      </c>
      <c r="AB57" s="3">
        <v>171</v>
      </c>
      <c r="AC57" s="3">
        <f t="shared" si="2"/>
        <v>77.222222222222229</v>
      </c>
    </row>
    <row r="58" spans="1:29" hidden="1">
      <c r="B58" s="3" t="s">
        <v>450</v>
      </c>
      <c r="D58" s="3">
        <v>0.3</v>
      </c>
      <c r="F58" s="3" t="s">
        <v>468</v>
      </c>
      <c r="G58" s="3">
        <v>0.4</v>
      </c>
      <c r="J58" s="3" t="s">
        <v>507</v>
      </c>
      <c r="K58" s="3" t="str">
        <f>IF(OR(K55="",K56="",K56=0),"",K55*K57*K55/K56)</f>
        <v/>
      </c>
      <c r="S58" s="3" t="s">
        <v>145</v>
      </c>
      <c r="T58" s="3">
        <v>24</v>
      </c>
      <c r="U58" s="3">
        <v>9.1</v>
      </c>
      <c r="V58" s="3">
        <f t="shared" si="0"/>
        <v>21166.6</v>
      </c>
      <c r="W58" s="3">
        <v>3</v>
      </c>
      <c r="X58" s="3">
        <v>3</v>
      </c>
      <c r="Y58" s="3">
        <v>2</v>
      </c>
      <c r="AA58" s="3" t="str">
        <f t="shared" si="1"/>
        <v/>
      </c>
      <c r="AC58" s="3" t="str">
        <f t="shared" si="2"/>
        <v/>
      </c>
    </row>
    <row r="59" spans="1:29" hidden="1">
      <c r="B59" s="3" t="s">
        <v>459</v>
      </c>
      <c r="D59" s="3">
        <v>0.5</v>
      </c>
      <c r="F59" s="3" t="s">
        <v>469</v>
      </c>
      <c r="G59" s="3">
        <v>0.4</v>
      </c>
      <c r="S59" s="3" t="s">
        <v>146</v>
      </c>
      <c r="T59" s="3">
        <v>4</v>
      </c>
      <c r="U59" s="3">
        <v>0</v>
      </c>
      <c r="V59" s="3">
        <f t="shared" si="0"/>
        <v>0</v>
      </c>
      <c r="W59" s="3">
        <v>0</v>
      </c>
      <c r="X59" s="3">
        <v>1</v>
      </c>
      <c r="Y59" s="3">
        <v>0</v>
      </c>
      <c r="AA59" s="3" t="str">
        <f t="shared" si="1"/>
        <v/>
      </c>
      <c r="AC59" s="3" t="str">
        <f t="shared" si="2"/>
        <v/>
      </c>
    </row>
    <row r="60" spans="1:29" hidden="1">
      <c r="B60" s="3" t="s">
        <v>452</v>
      </c>
      <c r="D60" s="3">
        <v>0.3</v>
      </c>
      <c r="S60" s="3" t="s">
        <v>147</v>
      </c>
      <c r="T60" s="3">
        <v>21</v>
      </c>
      <c r="U60" s="3">
        <v>6.1</v>
      </c>
      <c r="V60" s="3">
        <f t="shared" si="0"/>
        <v>14188.599999999999</v>
      </c>
      <c r="W60" s="3">
        <v>3</v>
      </c>
      <c r="X60" s="3">
        <v>4</v>
      </c>
      <c r="Y60" s="3">
        <v>0</v>
      </c>
      <c r="Z60" s="3">
        <v>-22</v>
      </c>
      <c r="AA60" s="3">
        <f t="shared" si="1"/>
        <v>-30</v>
      </c>
      <c r="AB60" s="3">
        <v>115</v>
      </c>
      <c r="AC60" s="3">
        <f t="shared" si="2"/>
        <v>46.111111111111114</v>
      </c>
    </row>
    <row r="61" spans="1:29" hidden="1">
      <c r="B61" s="3" t="s">
        <v>462</v>
      </c>
      <c r="D61" s="3">
        <v>1.25</v>
      </c>
      <c r="S61" s="3" t="s">
        <v>148</v>
      </c>
      <c r="T61" s="3">
        <v>21</v>
      </c>
      <c r="U61" s="3">
        <v>4.3</v>
      </c>
      <c r="V61" s="3">
        <f t="shared" si="0"/>
        <v>10001.799999999999</v>
      </c>
      <c r="W61" s="3">
        <v>3</v>
      </c>
      <c r="X61" s="3">
        <v>4</v>
      </c>
      <c r="Y61" s="3">
        <v>0</v>
      </c>
      <c r="AA61" s="3" t="str">
        <f t="shared" si="1"/>
        <v/>
      </c>
      <c r="AB61" s="3">
        <v>-313</v>
      </c>
      <c r="AC61" s="3">
        <f t="shared" si="2"/>
        <v>-191.66666666666666</v>
      </c>
    </row>
    <row r="62" spans="1:29" hidden="1">
      <c r="B62" s="3" t="s">
        <v>458</v>
      </c>
      <c r="D62" s="3">
        <v>0.5</v>
      </c>
      <c r="F62" s="3" t="s">
        <v>475</v>
      </c>
      <c r="G62" s="3">
        <v>0.25</v>
      </c>
      <c r="S62" s="3" t="s">
        <v>151</v>
      </c>
      <c r="T62" s="3">
        <v>14</v>
      </c>
      <c r="U62" s="3">
        <v>2.5</v>
      </c>
      <c r="V62" s="3">
        <f t="shared" si="0"/>
        <v>5815</v>
      </c>
      <c r="W62" s="3">
        <v>3</v>
      </c>
      <c r="X62" s="3">
        <v>0</v>
      </c>
      <c r="Y62" s="3">
        <v>1</v>
      </c>
      <c r="AA62" s="3" t="str">
        <f t="shared" si="1"/>
        <v/>
      </c>
      <c r="AB62" s="3">
        <v>223</v>
      </c>
      <c r="AC62" s="3">
        <f t="shared" si="2"/>
        <v>106.11111111111111</v>
      </c>
    </row>
    <row r="63" spans="1:29" hidden="1">
      <c r="B63" s="3" t="s">
        <v>455</v>
      </c>
      <c r="D63" s="3">
        <v>0.5</v>
      </c>
      <c r="F63" s="3" t="s">
        <v>474</v>
      </c>
      <c r="G63" s="3">
        <v>0.4</v>
      </c>
      <c r="S63" s="3" t="s">
        <v>149</v>
      </c>
      <c r="T63" s="3">
        <v>1</v>
      </c>
      <c r="U63" s="3">
        <v>0</v>
      </c>
      <c r="V63" s="3">
        <f t="shared" si="0"/>
        <v>0</v>
      </c>
      <c r="W63" s="3">
        <v>4</v>
      </c>
      <c r="X63" s="3">
        <v>0</v>
      </c>
      <c r="Y63" s="3">
        <v>0</v>
      </c>
      <c r="AA63" s="3" t="str">
        <f t="shared" si="1"/>
        <v/>
      </c>
      <c r="AB63" s="3">
        <v>-29</v>
      </c>
      <c r="AC63" s="3">
        <f t="shared" si="2"/>
        <v>-33.888888888888886</v>
      </c>
    </row>
    <row r="64" spans="1:29" hidden="1">
      <c r="B64" s="3" t="s">
        <v>456</v>
      </c>
      <c r="D64" s="3">
        <v>0.75</v>
      </c>
      <c r="F64" s="3" t="s">
        <v>473</v>
      </c>
      <c r="G64" s="3">
        <v>0.65</v>
      </c>
      <c r="S64" s="3" t="s">
        <v>150</v>
      </c>
      <c r="T64" s="3">
        <v>40</v>
      </c>
      <c r="U64" s="3">
        <v>0.7</v>
      </c>
      <c r="V64" s="3">
        <f t="shared" si="0"/>
        <v>1628.1999999999998</v>
      </c>
      <c r="W64" s="3">
        <v>3</v>
      </c>
      <c r="X64" s="3">
        <v>1</v>
      </c>
      <c r="Y64" s="3">
        <v>4</v>
      </c>
      <c r="AA64" s="3" t="str">
        <f t="shared" si="1"/>
        <v/>
      </c>
      <c r="AB64" s="3">
        <v>50</v>
      </c>
      <c r="AC64" s="3">
        <f t="shared" si="2"/>
        <v>10</v>
      </c>
    </row>
    <row r="65" spans="2:29" hidden="1">
      <c r="B65" s="3" t="s">
        <v>460</v>
      </c>
      <c r="D65" s="3">
        <v>1</v>
      </c>
      <c r="F65" s="3" t="s">
        <v>472</v>
      </c>
      <c r="G65" s="3">
        <v>0.85</v>
      </c>
      <c r="S65" s="3" t="s">
        <v>154</v>
      </c>
      <c r="T65" s="3">
        <v>14</v>
      </c>
      <c r="U65" s="3">
        <v>5.7</v>
      </c>
      <c r="V65" s="3">
        <f t="shared" si="0"/>
        <v>13258.2</v>
      </c>
      <c r="W65" s="3">
        <v>2</v>
      </c>
      <c r="X65" s="3">
        <v>1</v>
      </c>
      <c r="Y65" s="3">
        <v>1</v>
      </c>
      <c r="AA65" s="3" t="str">
        <f t="shared" si="1"/>
        <v/>
      </c>
      <c r="AC65" s="3" t="str">
        <f t="shared" si="2"/>
        <v/>
      </c>
    </row>
    <row r="66" spans="2:29" hidden="1">
      <c r="B66" s="3" t="s">
        <v>451</v>
      </c>
      <c r="D66" s="3">
        <v>0.3</v>
      </c>
      <c r="F66" s="3" t="s">
        <v>471</v>
      </c>
      <c r="G66" s="3">
        <v>0.5</v>
      </c>
      <c r="S66" s="3" t="s">
        <v>155</v>
      </c>
      <c r="T66" s="3">
        <v>29</v>
      </c>
      <c r="U66" s="3">
        <v>3.5</v>
      </c>
      <c r="V66" s="3">
        <f t="shared" ref="V66:V129" si="3">IF(U66="","",2.326*U66*1000)</f>
        <v>8141</v>
      </c>
      <c r="W66" s="3">
        <v>3</v>
      </c>
      <c r="X66" s="3">
        <v>2</v>
      </c>
      <c r="Y66" s="3">
        <v>3</v>
      </c>
      <c r="Z66" s="3">
        <v>133</v>
      </c>
      <c r="AA66" s="3">
        <f t="shared" ref="AA66:AA129" si="4">IF(Z66="","",5*(Z66-32)/9)</f>
        <v>56.111111111111114</v>
      </c>
      <c r="AB66" s="3">
        <v>344</v>
      </c>
      <c r="AC66" s="3">
        <f t="shared" ref="AC66:AC129" si="5">IF(AB66="","",5*(AB66-32)/9)</f>
        <v>173.33333333333334</v>
      </c>
    </row>
    <row r="67" spans="2:29" hidden="1">
      <c r="B67" s="3" t="s">
        <v>457</v>
      </c>
      <c r="D67" s="3">
        <v>0.5</v>
      </c>
      <c r="F67" s="3" t="s">
        <v>470</v>
      </c>
      <c r="G67" s="3">
        <v>0.5</v>
      </c>
      <c r="S67" s="3" t="s">
        <v>152</v>
      </c>
      <c r="T67" s="3">
        <v>16</v>
      </c>
      <c r="U67" s="3">
        <v>10.9</v>
      </c>
      <c r="V67" s="3">
        <f t="shared" si="3"/>
        <v>25353.4</v>
      </c>
      <c r="W67" s="3">
        <v>2</v>
      </c>
      <c r="X67" s="3">
        <v>3</v>
      </c>
      <c r="Y67" s="3">
        <v>0</v>
      </c>
      <c r="Z67" s="3">
        <v>84</v>
      </c>
      <c r="AA67" s="3">
        <f t="shared" si="4"/>
        <v>28.888888888888889</v>
      </c>
      <c r="AB67" s="3">
        <v>270</v>
      </c>
      <c r="AC67" s="3">
        <f t="shared" si="5"/>
        <v>132.22222222222223</v>
      </c>
    </row>
    <row r="68" spans="2:29" hidden="1">
      <c r="B68" s="3" t="s">
        <v>448</v>
      </c>
      <c r="D68" s="3">
        <v>0.3</v>
      </c>
      <c r="S68" s="3" t="s">
        <v>153</v>
      </c>
      <c r="T68" s="3">
        <v>1</v>
      </c>
      <c r="U68" s="3">
        <v>1.5</v>
      </c>
      <c r="V68" s="3">
        <f t="shared" si="3"/>
        <v>3489</v>
      </c>
      <c r="W68" s="3">
        <v>2</v>
      </c>
      <c r="X68" s="3">
        <v>0</v>
      </c>
      <c r="Y68" s="3">
        <v>0</v>
      </c>
      <c r="AA68" s="3" t="str">
        <f t="shared" si="4"/>
        <v/>
      </c>
      <c r="AB68" s="3">
        <v>143</v>
      </c>
      <c r="AC68" s="3">
        <f t="shared" si="5"/>
        <v>61.666666666666664</v>
      </c>
    </row>
    <row r="69" spans="2:29" hidden="1">
      <c r="S69" s="3" t="s">
        <v>156</v>
      </c>
      <c r="T69" s="3">
        <v>10</v>
      </c>
      <c r="U69" s="3">
        <v>9.1999999999999993</v>
      </c>
      <c r="V69" s="3">
        <f t="shared" si="3"/>
        <v>21399.200000000001</v>
      </c>
      <c r="W69" s="3">
        <v>3</v>
      </c>
      <c r="X69" s="3">
        <v>2</v>
      </c>
      <c r="Y69" s="3">
        <v>0</v>
      </c>
      <c r="Z69" s="3">
        <v>147</v>
      </c>
      <c r="AA69" s="3">
        <f t="shared" si="4"/>
        <v>63.888888888888886</v>
      </c>
      <c r="AB69" s="3">
        <v>47</v>
      </c>
      <c r="AC69" s="3">
        <f t="shared" si="5"/>
        <v>8.3333333333333339</v>
      </c>
    </row>
    <row r="70" spans="2:29" ht="16.5" hidden="1">
      <c r="E70" s="3" t="s">
        <v>480</v>
      </c>
      <c r="S70" s="3" t="s">
        <v>157</v>
      </c>
      <c r="T70" s="3">
        <v>29</v>
      </c>
      <c r="U70" s="3">
        <v>5.8</v>
      </c>
      <c r="V70" s="3">
        <f t="shared" si="3"/>
        <v>13490.8</v>
      </c>
      <c r="W70" s="3">
        <v>4</v>
      </c>
      <c r="X70" s="3">
        <v>0</v>
      </c>
      <c r="Y70" s="3">
        <v>3</v>
      </c>
      <c r="AA70" s="3" t="str">
        <f t="shared" si="4"/>
        <v/>
      </c>
      <c r="AB70" s="3">
        <v>234</v>
      </c>
      <c r="AC70" s="3">
        <f t="shared" si="5"/>
        <v>112.22222222222223</v>
      </c>
    </row>
    <row r="71" spans="2:29" ht="16.5" hidden="1">
      <c r="B71" s="3" t="s">
        <v>477</v>
      </c>
      <c r="C71" s="3">
        <v>0.45</v>
      </c>
      <c r="E71" s="3" t="s">
        <v>481</v>
      </c>
      <c r="S71" s="3" t="s">
        <v>158</v>
      </c>
      <c r="T71" s="3">
        <v>21</v>
      </c>
      <c r="U71" s="3">
        <v>10.1</v>
      </c>
      <c r="V71" s="3">
        <f t="shared" si="3"/>
        <v>23492.6</v>
      </c>
      <c r="W71" s="3">
        <v>2</v>
      </c>
      <c r="X71" s="3">
        <v>4</v>
      </c>
      <c r="Y71" s="3">
        <v>0</v>
      </c>
      <c r="Z71" s="3">
        <v>-26</v>
      </c>
      <c r="AA71" s="3">
        <f t="shared" si="4"/>
        <v>-32.222222222222221</v>
      </c>
      <c r="AB71" s="3">
        <v>95</v>
      </c>
      <c r="AC71" s="3">
        <f t="shared" si="5"/>
        <v>35</v>
      </c>
    </row>
    <row r="72" spans="2:29" hidden="1">
      <c r="B72" s="3" t="s">
        <v>476</v>
      </c>
      <c r="C72" s="3">
        <v>0.5</v>
      </c>
      <c r="S72" s="3" t="s">
        <v>159</v>
      </c>
      <c r="T72" s="3">
        <v>24</v>
      </c>
      <c r="U72" s="3">
        <v>12.5</v>
      </c>
      <c r="V72" s="3">
        <f t="shared" si="3"/>
        <v>29075</v>
      </c>
      <c r="W72" s="3">
        <v>2</v>
      </c>
      <c r="X72" s="3">
        <v>1</v>
      </c>
      <c r="Y72" s="3">
        <v>2</v>
      </c>
      <c r="Z72" s="3">
        <v>165</v>
      </c>
      <c r="AA72" s="3">
        <f t="shared" si="4"/>
        <v>73.888888888888886</v>
      </c>
      <c r="AB72" s="3">
        <v>372</v>
      </c>
      <c r="AC72" s="3">
        <f t="shared" si="5"/>
        <v>188.88888888888889</v>
      </c>
    </row>
    <row r="73" spans="2:29" hidden="1">
      <c r="B73" s="3" t="s">
        <v>478</v>
      </c>
      <c r="C73" s="3">
        <v>0.9</v>
      </c>
      <c r="S73" s="3" t="s">
        <v>160</v>
      </c>
      <c r="T73" s="3">
        <v>24</v>
      </c>
      <c r="U73" s="3">
        <v>12</v>
      </c>
      <c r="V73" s="3">
        <f t="shared" si="3"/>
        <v>27912</v>
      </c>
      <c r="W73" s="3">
        <v>2</v>
      </c>
      <c r="X73" s="3">
        <v>1</v>
      </c>
      <c r="Y73" s="3">
        <v>2</v>
      </c>
      <c r="AA73" s="3" t="str">
        <f t="shared" si="4"/>
        <v/>
      </c>
      <c r="AB73" s="3">
        <v>554</v>
      </c>
      <c r="AC73" s="3">
        <f t="shared" si="5"/>
        <v>290</v>
      </c>
    </row>
    <row r="74" spans="2:29" hidden="1">
      <c r="S74" s="3" t="s">
        <v>161</v>
      </c>
      <c r="T74" s="3">
        <v>16</v>
      </c>
      <c r="U74" s="3">
        <v>18</v>
      </c>
      <c r="V74" s="3">
        <f t="shared" si="3"/>
        <v>41868</v>
      </c>
      <c r="W74" s="3">
        <v>2</v>
      </c>
      <c r="X74" s="3">
        <v>3</v>
      </c>
      <c r="Y74" s="3">
        <v>1</v>
      </c>
      <c r="Z74" s="3">
        <v>96</v>
      </c>
      <c r="AA74" s="3">
        <f t="shared" si="4"/>
        <v>35.555555555555557</v>
      </c>
      <c r="AB74" s="3">
        <v>306</v>
      </c>
      <c r="AC74" s="3">
        <f t="shared" si="5"/>
        <v>152.22222222222223</v>
      </c>
    </row>
    <row r="75" spans="2:29" hidden="1">
      <c r="S75" s="3" t="s">
        <v>162</v>
      </c>
      <c r="T75" s="3">
        <v>40</v>
      </c>
      <c r="U75" s="3">
        <v>13.7</v>
      </c>
      <c r="V75" s="3">
        <f t="shared" si="3"/>
        <v>31866.2</v>
      </c>
      <c r="W75" s="3">
        <v>1</v>
      </c>
      <c r="X75" s="3">
        <v>2</v>
      </c>
      <c r="Y75" s="3">
        <v>4</v>
      </c>
      <c r="Z75" s="3">
        <v>175</v>
      </c>
      <c r="AA75" s="3">
        <f t="shared" si="4"/>
        <v>79.444444444444443</v>
      </c>
      <c r="AC75" s="3" t="str">
        <f t="shared" si="5"/>
        <v/>
      </c>
    </row>
    <row r="76" spans="2:29" hidden="1">
      <c r="B76" s="3" t="s">
        <v>484</v>
      </c>
      <c r="C76" s="3">
        <v>0</v>
      </c>
      <c r="E76" s="3" t="s">
        <v>486</v>
      </c>
      <c r="F76" s="3">
        <v>0.5</v>
      </c>
      <c r="S76" s="3" t="s">
        <v>163</v>
      </c>
      <c r="T76" s="3">
        <v>29</v>
      </c>
      <c r="U76" s="3">
        <v>7</v>
      </c>
      <c r="V76" s="3">
        <f t="shared" si="3"/>
        <v>16282</v>
      </c>
      <c r="W76" s="3">
        <v>4</v>
      </c>
      <c r="X76" s="3">
        <v>1</v>
      </c>
      <c r="Y76" s="3">
        <v>3</v>
      </c>
      <c r="Z76" s="3">
        <v>286</v>
      </c>
      <c r="AA76" s="3">
        <f t="shared" si="4"/>
        <v>141.11111111111111</v>
      </c>
      <c r="AB76" s="3">
        <v>500</v>
      </c>
      <c r="AC76" s="3">
        <f t="shared" si="5"/>
        <v>260</v>
      </c>
    </row>
    <row r="77" spans="2:29" hidden="1">
      <c r="B77" s="3" t="s">
        <v>482</v>
      </c>
      <c r="C77" s="3">
        <v>0.5</v>
      </c>
      <c r="E77" s="3" t="s">
        <v>487</v>
      </c>
      <c r="F77" s="3">
        <v>0</v>
      </c>
      <c r="S77" s="3" t="s">
        <v>164</v>
      </c>
      <c r="T77" s="3">
        <v>21</v>
      </c>
      <c r="U77" s="3">
        <v>19.100000000000001</v>
      </c>
      <c r="V77" s="3">
        <f t="shared" si="3"/>
        <v>44426.600000000006</v>
      </c>
      <c r="W77" s="3">
        <v>1</v>
      </c>
      <c r="X77" s="3">
        <v>4</v>
      </c>
      <c r="Y77" s="3">
        <v>0</v>
      </c>
      <c r="AA77" s="3" t="str">
        <f t="shared" si="4"/>
        <v/>
      </c>
      <c r="AB77" s="3">
        <v>55</v>
      </c>
      <c r="AC77" s="3">
        <f t="shared" si="5"/>
        <v>12.777777777777779</v>
      </c>
    </row>
    <row r="78" spans="2:29" hidden="1">
      <c r="B78" s="3" t="s">
        <v>483</v>
      </c>
      <c r="C78" s="3">
        <v>0.5</v>
      </c>
      <c r="S78" s="3" t="s">
        <v>165</v>
      </c>
      <c r="T78" s="3">
        <v>16</v>
      </c>
      <c r="U78" s="3">
        <v>18.7</v>
      </c>
      <c r="V78" s="3">
        <f t="shared" si="3"/>
        <v>43496.200000000004</v>
      </c>
      <c r="W78" s="3">
        <v>1</v>
      </c>
      <c r="X78" s="3">
        <v>3</v>
      </c>
      <c r="Y78" s="3">
        <v>0</v>
      </c>
      <c r="Z78" s="3">
        <v>-4</v>
      </c>
      <c r="AA78" s="3">
        <f t="shared" si="4"/>
        <v>-20</v>
      </c>
      <c r="AB78" s="3">
        <v>179</v>
      </c>
      <c r="AC78" s="3">
        <f t="shared" si="5"/>
        <v>81.666666666666671</v>
      </c>
    </row>
    <row r="79" spans="2:29" hidden="1">
      <c r="B79" s="3" t="s">
        <v>485</v>
      </c>
      <c r="C79" s="3">
        <v>0.5</v>
      </c>
      <c r="S79" s="3" t="s">
        <v>166</v>
      </c>
      <c r="T79" s="3">
        <v>10</v>
      </c>
      <c r="U79" s="3">
        <v>15</v>
      </c>
      <c r="V79" s="3">
        <f t="shared" si="3"/>
        <v>34890</v>
      </c>
      <c r="W79" s="3">
        <v>1</v>
      </c>
      <c r="X79" s="3">
        <v>2</v>
      </c>
      <c r="Y79" s="3">
        <v>0</v>
      </c>
      <c r="Z79" s="3">
        <v>154</v>
      </c>
      <c r="AA79" s="3">
        <f t="shared" si="4"/>
        <v>67.777777777777771</v>
      </c>
      <c r="AB79" s="3">
        <v>322</v>
      </c>
      <c r="AC79" s="3">
        <f t="shared" si="5"/>
        <v>161.11111111111111</v>
      </c>
    </row>
    <row r="80" spans="2:29" hidden="1">
      <c r="S80" s="3" t="s">
        <v>167</v>
      </c>
      <c r="T80" s="3">
        <v>21</v>
      </c>
      <c r="U80" s="3">
        <v>21.3</v>
      </c>
      <c r="V80" s="3">
        <f t="shared" si="3"/>
        <v>49543.8</v>
      </c>
      <c r="W80" s="3">
        <v>1</v>
      </c>
      <c r="X80" s="3">
        <v>4</v>
      </c>
      <c r="Y80" s="3">
        <v>0</v>
      </c>
      <c r="AA80" s="3" t="str">
        <f t="shared" si="4"/>
        <v/>
      </c>
      <c r="AB80" s="3">
        <v>-29</v>
      </c>
      <c r="AC80" s="3">
        <f t="shared" si="5"/>
        <v>-33.888888888888886</v>
      </c>
    </row>
    <row r="81" spans="2:29" hidden="1">
      <c r="B81" s="3" t="s">
        <v>490</v>
      </c>
      <c r="C81" s="29">
        <v>0.5</v>
      </c>
      <c r="E81" s="3" t="s">
        <v>502</v>
      </c>
      <c r="F81" s="3">
        <v>0.7</v>
      </c>
      <c r="S81" s="3" t="s">
        <v>168</v>
      </c>
      <c r="T81" s="3">
        <v>14</v>
      </c>
      <c r="U81" s="3">
        <v>13.7</v>
      </c>
      <c r="V81" s="3">
        <f t="shared" si="3"/>
        <v>31866.2</v>
      </c>
      <c r="W81" s="3">
        <v>1</v>
      </c>
      <c r="X81" s="3">
        <v>1</v>
      </c>
      <c r="Y81" s="3">
        <v>1</v>
      </c>
      <c r="Z81" s="3">
        <v>485</v>
      </c>
      <c r="AA81" s="3">
        <f t="shared" si="4"/>
        <v>251.66666666666666</v>
      </c>
      <c r="AB81" s="3">
        <v>878</v>
      </c>
      <c r="AC81" s="3">
        <f t="shared" si="5"/>
        <v>470</v>
      </c>
    </row>
    <row r="82" spans="2:29" hidden="1">
      <c r="B82" s="3" t="s">
        <v>491</v>
      </c>
      <c r="C82" s="29">
        <v>0</v>
      </c>
      <c r="E82" s="3" t="s">
        <v>505</v>
      </c>
      <c r="F82" s="3">
        <v>1.3</v>
      </c>
      <c r="S82" s="3" t="s">
        <v>173</v>
      </c>
      <c r="T82" s="3">
        <v>24</v>
      </c>
      <c r="U82" s="3">
        <v>5.3</v>
      </c>
      <c r="V82" s="3">
        <f t="shared" si="3"/>
        <v>12327.8</v>
      </c>
      <c r="W82" s="3">
        <v>0</v>
      </c>
      <c r="X82" s="3">
        <v>1</v>
      </c>
      <c r="Y82" s="3">
        <v>2</v>
      </c>
      <c r="AA82" s="3" t="str">
        <f t="shared" si="4"/>
        <v/>
      </c>
      <c r="AC82" s="3" t="str">
        <f t="shared" si="5"/>
        <v/>
      </c>
    </row>
    <row r="83" spans="2:29" hidden="1">
      <c r="B83" s="3" t="s">
        <v>489</v>
      </c>
      <c r="C83" s="29">
        <v>0.5</v>
      </c>
      <c r="E83" s="3" t="s">
        <v>504</v>
      </c>
      <c r="F83" s="3">
        <v>1.3</v>
      </c>
      <c r="S83" s="3" t="s">
        <v>169</v>
      </c>
      <c r="T83" s="3">
        <v>10</v>
      </c>
      <c r="U83" s="3">
        <v>8.1</v>
      </c>
      <c r="V83" s="3">
        <f t="shared" si="3"/>
        <v>18840.599999999999</v>
      </c>
      <c r="W83" s="3">
        <v>2</v>
      </c>
      <c r="X83" s="3">
        <v>2</v>
      </c>
      <c r="Y83" s="3">
        <v>0</v>
      </c>
      <c r="Z83" s="3">
        <v>151</v>
      </c>
      <c r="AA83" s="3">
        <f t="shared" si="4"/>
        <v>66.111111111111114</v>
      </c>
      <c r="AB83" s="3">
        <v>357</v>
      </c>
      <c r="AC83" s="3">
        <f t="shared" si="5"/>
        <v>180.55555555555554</v>
      </c>
    </row>
    <row r="84" spans="2:29" hidden="1">
      <c r="B84" s="3" t="s">
        <v>493</v>
      </c>
      <c r="C84" s="29">
        <v>0.8</v>
      </c>
      <c r="E84" s="3" t="s">
        <v>503</v>
      </c>
      <c r="F84" s="3">
        <v>1.2</v>
      </c>
      <c r="S84" s="3" t="s">
        <v>171</v>
      </c>
      <c r="T84" s="3">
        <v>16</v>
      </c>
      <c r="U84" s="3">
        <v>6</v>
      </c>
      <c r="V84" s="3">
        <f t="shared" si="3"/>
        <v>13956</v>
      </c>
      <c r="W84" s="3">
        <v>3</v>
      </c>
      <c r="X84" s="3">
        <v>3</v>
      </c>
      <c r="Y84" s="3">
        <v>0</v>
      </c>
      <c r="Z84" s="3">
        <v>95</v>
      </c>
      <c r="AA84" s="3">
        <f t="shared" si="4"/>
        <v>35</v>
      </c>
      <c r="AB84" s="3">
        <v>219</v>
      </c>
      <c r="AC84" s="3">
        <f t="shared" si="5"/>
        <v>103.88888888888889</v>
      </c>
    </row>
    <row r="85" spans="2:29" hidden="1">
      <c r="B85" s="3" t="s">
        <v>488</v>
      </c>
      <c r="C85" s="29">
        <v>0.5</v>
      </c>
      <c r="E85" s="3" t="s">
        <v>506</v>
      </c>
      <c r="F85" s="3">
        <v>1</v>
      </c>
      <c r="S85" s="3" t="s">
        <v>172</v>
      </c>
      <c r="T85" s="3">
        <v>16</v>
      </c>
      <c r="U85" s="3">
        <v>5.9</v>
      </c>
      <c r="V85" s="3">
        <f t="shared" si="3"/>
        <v>13723.400000000001</v>
      </c>
      <c r="W85" s="3">
        <v>2</v>
      </c>
      <c r="X85" s="3">
        <v>3</v>
      </c>
      <c r="Y85" s="3">
        <v>0</v>
      </c>
      <c r="Z85" s="3">
        <v>59</v>
      </c>
      <c r="AA85" s="3">
        <f t="shared" si="4"/>
        <v>15</v>
      </c>
      <c r="AB85" s="3">
        <v>201</v>
      </c>
      <c r="AC85" s="3">
        <f t="shared" si="5"/>
        <v>93.888888888888886</v>
      </c>
    </row>
    <row r="86" spans="2:29" hidden="1">
      <c r="B86" s="3" t="s">
        <v>492</v>
      </c>
      <c r="C86" s="29">
        <v>0.3</v>
      </c>
      <c r="S86" s="3" t="s">
        <v>174</v>
      </c>
      <c r="T86" s="3">
        <v>24</v>
      </c>
      <c r="U86" s="3">
        <v>9.3000000000000007</v>
      </c>
      <c r="V86" s="3">
        <f t="shared" si="3"/>
        <v>21631.800000000003</v>
      </c>
      <c r="W86" s="3">
        <v>2</v>
      </c>
      <c r="X86" s="3">
        <v>1</v>
      </c>
      <c r="Y86" s="3">
        <v>2</v>
      </c>
      <c r="Z86" s="3">
        <v>225</v>
      </c>
      <c r="AA86" s="3">
        <f t="shared" si="4"/>
        <v>107.22222222222223</v>
      </c>
      <c r="AC86" s="3" t="str">
        <f t="shared" si="5"/>
        <v/>
      </c>
    </row>
    <row r="87" spans="2:29" hidden="1">
      <c r="S87" s="3" t="s">
        <v>170</v>
      </c>
      <c r="T87" s="3">
        <v>24</v>
      </c>
      <c r="U87" s="3">
        <v>6.9</v>
      </c>
      <c r="V87" s="3">
        <f t="shared" si="3"/>
        <v>16049.400000000001</v>
      </c>
      <c r="W87" s="3">
        <v>2</v>
      </c>
      <c r="X87" s="3">
        <v>3</v>
      </c>
      <c r="Y87" s="3">
        <v>2</v>
      </c>
      <c r="Z87" s="3">
        <v>36</v>
      </c>
      <c r="AA87" s="3">
        <f t="shared" si="4"/>
        <v>2.2222222222222223</v>
      </c>
      <c r="AB87" s="3">
        <v>140</v>
      </c>
      <c r="AC87" s="3">
        <f t="shared" si="5"/>
        <v>60</v>
      </c>
    </row>
    <row r="88" spans="2:29" hidden="1">
      <c r="S88" s="3" t="s">
        <v>175</v>
      </c>
      <c r="T88" s="3">
        <v>29</v>
      </c>
      <c r="U88" s="3">
        <v>15.4</v>
      </c>
      <c r="V88" s="3">
        <f t="shared" si="3"/>
        <v>35820.400000000001</v>
      </c>
      <c r="W88" s="3">
        <v>0</v>
      </c>
      <c r="X88" s="3">
        <v>1</v>
      </c>
      <c r="Y88" s="3">
        <v>3</v>
      </c>
      <c r="AA88" s="3" t="str">
        <f t="shared" si="4"/>
        <v/>
      </c>
      <c r="AC88" s="3" t="str">
        <f t="shared" si="5"/>
        <v/>
      </c>
    </row>
    <row r="89" spans="2:29" hidden="1">
      <c r="B89" s="3" t="s">
        <v>498</v>
      </c>
      <c r="C89" s="3">
        <v>2</v>
      </c>
      <c r="E89" s="3" t="s">
        <v>510</v>
      </c>
      <c r="F89" s="3">
        <v>0</v>
      </c>
      <c r="S89" s="3" t="s">
        <v>176</v>
      </c>
      <c r="T89" s="3">
        <v>16</v>
      </c>
      <c r="U89" s="3">
        <v>17.899999999999999</v>
      </c>
      <c r="V89" s="3">
        <f t="shared" si="3"/>
        <v>41635.399999999994</v>
      </c>
      <c r="W89" s="3">
        <v>1</v>
      </c>
      <c r="X89" s="3">
        <v>3</v>
      </c>
      <c r="Y89" s="3">
        <v>1</v>
      </c>
      <c r="Z89" s="3">
        <v>90</v>
      </c>
      <c r="AA89" s="3">
        <f t="shared" si="4"/>
        <v>32.222222222222221</v>
      </c>
      <c r="AB89" s="3">
        <v>342</v>
      </c>
      <c r="AC89" s="3">
        <f t="shared" si="5"/>
        <v>172.22222222222223</v>
      </c>
    </row>
    <row r="90" spans="2:29" hidden="1">
      <c r="B90" s="3" t="s">
        <v>494</v>
      </c>
      <c r="C90" s="3">
        <v>0.25</v>
      </c>
      <c r="E90" s="3" t="s">
        <v>509</v>
      </c>
      <c r="F90" s="3">
        <v>0.2</v>
      </c>
      <c r="S90" s="3" t="s">
        <v>177</v>
      </c>
      <c r="T90" s="3">
        <v>10</v>
      </c>
      <c r="U90" s="3">
        <v>18.7</v>
      </c>
      <c r="V90" s="3">
        <f t="shared" si="3"/>
        <v>43496.200000000004</v>
      </c>
      <c r="W90" s="3">
        <v>0</v>
      </c>
      <c r="X90" s="3">
        <v>2</v>
      </c>
      <c r="Y90" s="3">
        <v>0</v>
      </c>
      <c r="Z90" s="3">
        <v>100</v>
      </c>
      <c r="AA90" s="3">
        <f t="shared" si="4"/>
        <v>37.777777777777779</v>
      </c>
      <c r="AB90" s="3">
        <v>315</v>
      </c>
      <c r="AC90" s="3">
        <f t="shared" si="5"/>
        <v>157.22222222222223</v>
      </c>
    </row>
    <row r="91" spans="2:29" hidden="1">
      <c r="B91" s="3" t="s">
        <v>496</v>
      </c>
      <c r="C91" s="3">
        <v>0.75</v>
      </c>
      <c r="E91" s="3" t="s">
        <v>508</v>
      </c>
      <c r="F91" s="3">
        <v>0.3</v>
      </c>
      <c r="S91" s="3" t="s">
        <v>179</v>
      </c>
      <c r="T91" s="3">
        <v>10</v>
      </c>
      <c r="U91" s="3">
        <v>18</v>
      </c>
      <c r="V91" s="3">
        <f t="shared" si="3"/>
        <v>41868</v>
      </c>
      <c r="W91" s="3">
        <v>2</v>
      </c>
      <c r="X91" s="3">
        <v>2</v>
      </c>
      <c r="Y91" s="3">
        <v>0</v>
      </c>
      <c r="Z91" s="3">
        <v>133</v>
      </c>
      <c r="AA91" s="3">
        <f t="shared" si="4"/>
        <v>56.111111111111114</v>
      </c>
      <c r="AB91" s="3">
        <v>358</v>
      </c>
      <c r="AC91" s="3">
        <f t="shared" si="5"/>
        <v>181.11111111111111</v>
      </c>
    </row>
    <row r="92" spans="2:29" hidden="1">
      <c r="B92" s="3" t="s">
        <v>495</v>
      </c>
      <c r="C92" s="3">
        <v>0.57999999999999996</v>
      </c>
      <c r="S92" s="3" t="s">
        <v>180</v>
      </c>
      <c r="T92" s="3">
        <v>16</v>
      </c>
      <c r="U92" s="3">
        <v>9.1</v>
      </c>
      <c r="V92" s="3">
        <f t="shared" si="3"/>
        <v>21166.6</v>
      </c>
      <c r="W92" s="3">
        <v>2</v>
      </c>
      <c r="X92" s="3">
        <v>3</v>
      </c>
      <c r="Y92" s="3">
        <v>1</v>
      </c>
      <c r="Z92" s="3">
        <v>77</v>
      </c>
      <c r="AA92" s="3">
        <f t="shared" si="4"/>
        <v>25</v>
      </c>
      <c r="AB92" s="3">
        <v>259</v>
      </c>
      <c r="AC92" s="3">
        <f t="shared" si="5"/>
        <v>126.11111111111111</v>
      </c>
    </row>
    <row r="93" spans="2:29" hidden="1">
      <c r="B93" s="3" t="s">
        <v>497</v>
      </c>
      <c r="C93" s="3">
        <v>1.25</v>
      </c>
      <c r="S93" s="3" t="s">
        <v>182</v>
      </c>
      <c r="T93" s="3">
        <v>21</v>
      </c>
      <c r="U93" s="3">
        <v>14.5</v>
      </c>
      <c r="V93" s="3">
        <f t="shared" si="3"/>
        <v>33727.000000000007</v>
      </c>
      <c r="W93" s="3">
        <v>2</v>
      </c>
      <c r="X93" s="3">
        <v>4</v>
      </c>
      <c r="Y93" s="3">
        <v>1</v>
      </c>
      <c r="Z93" s="3">
        <v>-49</v>
      </c>
      <c r="AA93" s="3">
        <f t="shared" si="4"/>
        <v>-45</v>
      </c>
      <c r="AB93" s="3">
        <v>94</v>
      </c>
      <c r="AC93" s="3">
        <f t="shared" si="5"/>
        <v>34.444444444444443</v>
      </c>
    </row>
    <row r="94" spans="2:29" hidden="1">
      <c r="F94" s="3" t="s">
        <v>525</v>
      </c>
      <c r="G94" s="3">
        <v>0.3</v>
      </c>
      <c r="S94" s="3" t="s">
        <v>183</v>
      </c>
      <c r="T94" s="3">
        <v>40</v>
      </c>
      <c r="U94" s="3">
        <v>12.2</v>
      </c>
      <c r="V94" s="3">
        <f t="shared" si="3"/>
        <v>28377.199999999997</v>
      </c>
      <c r="X94" s="3">
        <v>4</v>
      </c>
      <c r="Y94" s="3">
        <v>4</v>
      </c>
      <c r="AA94" s="3" t="str">
        <f t="shared" si="4"/>
        <v/>
      </c>
      <c r="AC94" s="3" t="str">
        <f t="shared" si="5"/>
        <v/>
      </c>
    </row>
    <row r="95" spans="2:29" hidden="1">
      <c r="B95" s="3" t="s">
        <v>511</v>
      </c>
      <c r="C95" s="3" t="str">
        <f>IF(I36="","",0.17179+0.42988*LOG10(I36)-0.37244*LOG10(I36^2)+0.17712*LOG10(I36^3)-0.029984*LOG10(I36^4))</f>
        <v/>
      </c>
      <c r="D95" s="3" t="str">
        <f t="shared" ref="D95:D100" si="6">IF(C95="","",10^C95)</f>
        <v/>
      </c>
      <c r="F95" s="3" t="s">
        <v>526</v>
      </c>
      <c r="G95" s="3">
        <v>0.4</v>
      </c>
      <c r="S95" s="3" t="s">
        <v>414</v>
      </c>
      <c r="T95" s="3">
        <v>16</v>
      </c>
      <c r="U95" s="3">
        <v>16.5</v>
      </c>
      <c r="V95" s="3">
        <f t="shared" si="3"/>
        <v>38379</v>
      </c>
      <c r="W95" s="3">
        <v>3</v>
      </c>
      <c r="X95" s="3">
        <v>3</v>
      </c>
      <c r="Y95" s="3">
        <v>0</v>
      </c>
      <c r="Z95" s="3">
        <v>-18</v>
      </c>
      <c r="AA95" s="3">
        <f t="shared" si="4"/>
        <v>-27.777777777777779</v>
      </c>
      <c r="AB95" s="3">
        <v>132</v>
      </c>
      <c r="AC95" s="3">
        <f t="shared" si="5"/>
        <v>55.555555555555557</v>
      </c>
    </row>
    <row r="96" spans="2:29" hidden="1">
      <c r="B96" s="3" t="s">
        <v>512</v>
      </c>
      <c r="C96" s="3" t="str">
        <f>IF(I36="","",-0.289069+0.472171*LOG10(I36)-0.074585*LOG10(I36^2)-0.018641*LOG10(I36^3))</f>
        <v/>
      </c>
      <c r="D96" s="3" t="str">
        <f t="shared" si="6"/>
        <v/>
      </c>
      <c r="F96" s="3" t="s">
        <v>523</v>
      </c>
      <c r="G96" s="3">
        <v>0.1</v>
      </c>
      <c r="S96" s="3" t="s">
        <v>181</v>
      </c>
      <c r="T96" s="3">
        <v>4</v>
      </c>
      <c r="U96" s="3">
        <v>8.6999999999999993</v>
      </c>
      <c r="V96" s="3">
        <f t="shared" si="3"/>
        <v>20236.2</v>
      </c>
      <c r="W96" s="3">
        <v>1</v>
      </c>
      <c r="X96" s="3">
        <v>1</v>
      </c>
      <c r="Y96" s="3">
        <v>0</v>
      </c>
      <c r="Z96" s="3">
        <v>255</v>
      </c>
      <c r="AA96" s="3">
        <f t="shared" si="4"/>
        <v>123.88888888888889</v>
      </c>
      <c r="AB96" s="3">
        <v>427</v>
      </c>
      <c r="AC96" s="3">
        <f t="shared" si="5"/>
        <v>219.44444444444446</v>
      </c>
    </row>
    <row r="97" spans="2:29" hidden="1">
      <c r="B97" s="3" t="s">
        <v>515</v>
      </c>
      <c r="C97" s="3" t="str">
        <f>IF(I36="","",0.280423+0.464559*LOG10(I36)-0.28291*LOG10(I36^2)+0.066218*LOG10(I36^3))</f>
        <v/>
      </c>
      <c r="D97" s="3" t="str">
        <f t="shared" si="6"/>
        <v/>
      </c>
      <c r="F97" s="3" t="s">
        <v>524</v>
      </c>
      <c r="G97" s="3">
        <v>0.3</v>
      </c>
      <c r="S97" s="3" t="s">
        <v>178</v>
      </c>
      <c r="T97" s="3">
        <v>4</v>
      </c>
      <c r="U97" s="3">
        <v>10</v>
      </c>
      <c r="V97" s="3">
        <f t="shared" si="3"/>
        <v>23260</v>
      </c>
      <c r="W97" s="3">
        <v>1</v>
      </c>
      <c r="X97" s="3">
        <v>1</v>
      </c>
      <c r="Y97" s="3">
        <v>0</v>
      </c>
      <c r="Z97" s="3">
        <v>342</v>
      </c>
      <c r="AA97" s="3">
        <f t="shared" si="4"/>
        <v>172.22222222222223</v>
      </c>
      <c r="AB97" s="3">
        <v>514</v>
      </c>
      <c r="AC97" s="3">
        <f t="shared" si="5"/>
        <v>267.77777777777777</v>
      </c>
    </row>
    <row r="98" spans="2:29" hidden="1">
      <c r="B98" s="3" t="s">
        <v>516</v>
      </c>
      <c r="C98" s="3" t="str">
        <f>IF(I36="","",-0.358311+0.459926*LOG10(I36)-0.141022*LOG10(I36^2)+0.02276*LOG10(I36^3))</f>
        <v/>
      </c>
      <c r="D98" s="3" t="str">
        <f t="shared" si="6"/>
        <v/>
      </c>
      <c r="F98" s="3" t="s">
        <v>527</v>
      </c>
      <c r="G98" s="3">
        <v>1.5</v>
      </c>
      <c r="S98" s="3" t="s">
        <v>184</v>
      </c>
      <c r="T98" s="3">
        <v>16</v>
      </c>
      <c r="U98" s="3">
        <v>19</v>
      </c>
      <c r="V98" s="3">
        <f t="shared" si="3"/>
        <v>44194</v>
      </c>
      <c r="W98" s="3">
        <v>1</v>
      </c>
      <c r="X98" s="3">
        <v>3</v>
      </c>
      <c r="Y98" s="3">
        <v>0</v>
      </c>
      <c r="Z98" s="3">
        <v>23</v>
      </c>
      <c r="AA98" s="3">
        <f t="shared" si="4"/>
        <v>-5</v>
      </c>
      <c r="AB98" s="3">
        <v>214</v>
      </c>
      <c r="AC98" s="3">
        <f t="shared" si="5"/>
        <v>101.11111111111111</v>
      </c>
    </row>
    <row r="99" spans="2:29" hidden="1">
      <c r="B99" s="3" t="s">
        <v>514</v>
      </c>
      <c r="C99" s="3" t="str">
        <f>IF(I36="","",-0.558394+0.363321*LOG10(I36)-0.057296*LOG10(I36^2)-0.010759*LOG10(I36^3))</f>
        <v/>
      </c>
      <c r="D99" s="3" t="str">
        <f t="shared" si="6"/>
        <v/>
      </c>
      <c r="S99" s="3" t="s">
        <v>185</v>
      </c>
      <c r="T99" s="3">
        <v>10</v>
      </c>
      <c r="U99" s="3">
        <v>17.899999999999999</v>
      </c>
      <c r="V99" s="3">
        <f t="shared" si="3"/>
        <v>41635.399999999994</v>
      </c>
      <c r="W99" s="3">
        <v>0</v>
      </c>
      <c r="X99" s="3">
        <v>2</v>
      </c>
      <c r="Y99" s="3">
        <v>0</v>
      </c>
      <c r="Z99" s="3">
        <v>170</v>
      </c>
      <c r="AA99" s="3">
        <f t="shared" si="4"/>
        <v>76.666666666666671</v>
      </c>
      <c r="AB99" s="3">
        <v>401</v>
      </c>
      <c r="AC99" s="3">
        <f t="shared" si="5"/>
        <v>205</v>
      </c>
    </row>
    <row r="100" spans="2:29" hidden="1">
      <c r="B100" s="3" t="s">
        <v>513</v>
      </c>
      <c r="C100" s="3" t="str">
        <f>IF(I36="","",-0.403115+0.378703*LOG10(I36)-0.046402*LOG10(I36^2)-0.015379*LOG10(I36^3))</f>
        <v/>
      </c>
      <c r="D100" s="3" t="str">
        <f t="shared" si="6"/>
        <v/>
      </c>
      <c r="S100" s="3" t="s">
        <v>187</v>
      </c>
      <c r="T100" s="3">
        <v>16</v>
      </c>
      <c r="U100" s="3">
        <v>14.8</v>
      </c>
      <c r="V100" s="3">
        <f t="shared" si="3"/>
        <v>34424.800000000003</v>
      </c>
      <c r="W100" s="3">
        <v>2</v>
      </c>
      <c r="X100" s="3">
        <v>3</v>
      </c>
      <c r="Y100" s="3">
        <v>0</v>
      </c>
      <c r="Z100" s="3">
        <v>98</v>
      </c>
      <c r="AA100" s="3">
        <f t="shared" si="4"/>
        <v>36.666666666666664</v>
      </c>
      <c r="AB100" s="3">
        <v>237</v>
      </c>
      <c r="AC100" s="3">
        <f t="shared" si="5"/>
        <v>113.88888888888889</v>
      </c>
    </row>
    <row r="101" spans="2:29" hidden="1">
      <c r="S101" s="3" t="s">
        <v>186</v>
      </c>
      <c r="T101" s="3">
        <v>21</v>
      </c>
      <c r="U101" s="3">
        <v>15.2</v>
      </c>
      <c r="V101" s="3">
        <f t="shared" si="3"/>
        <v>35355.199999999997</v>
      </c>
      <c r="W101" s="3">
        <v>3</v>
      </c>
      <c r="X101" s="3">
        <v>4</v>
      </c>
      <c r="Y101" s="3">
        <v>0</v>
      </c>
      <c r="AA101" s="3" t="str">
        <f t="shared" si="4"/>
        <v/>
      </c>
      <c r="AB101" s="3">
        <v>44</v>
      </c>
      <c r="AC101" s="3">
        <f t="shared" si="5"/>
        <v>6.666666666666667</v>
      </c>
    </row>
    <row r="102" spans="2:29" hidden="1">
      <c r="B102" s="3" t="s">
        <v>517</v>
      </c>
      <c r="C102" s="3">
        <v>0.1</v>
      </c>
      <c r="E102" s="3" t="s">
        <v>529</v>
      </c>
      <c r="F102" s="3">
        <v>0</v>
      </c>
      <c r="G102" s="3">
        <v>0</v>
      </c>
      <c r="S102" s="3" t="s">
        <v>189</v>
      </c>
      <c r="T102" s="3">
        <v>40</v>
      </c>
      <c r="U102" s="3">
        <v>6.1</v>
      </c>
      <c r="V102" s="3">
        <f t="shared" si="3"/>
        <v>14188.599999999999</v>
      </c>
      <c r="W102" s="3">
        <v>3</v>
      </c>
      <c r="X102" s="3">
        <v>1</v>
      </c>
      <c r="Y102" s="3">
        <v>4</v>
      </c>
      <c r="AA102" s="3" t="str">
        <f t="shared" si="4"/>
        <v/>
      </c>
      <c r="AC102" s="3" t="str">
        <f t="shared" si="5"/>
        <v/>
      </c>
    </row>
    <row r="103" spans="2:29" hidden="1">
      <c r="B103" s="3" t="s">
        <v>519</v>
      </c>
      <c r="C103" s="3">
        <v>0.5</v>
      </c>
      <c r="E103" s="3" t="s">
        <v>528</v>
      </c>
      <c r="F103" s="3">
        <f>IF(J42="","",-3.2343*K2/210+3.75127*(K2/210)^2-1.42523*(K2/210)^3)</f>
        <v>-0.41917015789872664</v>
      </c>
      <c r="G103" s="3">
        <f>IF(F103="","",10^F103)</f>
        <v>0.38091654989013801</v>
      </c>
      <c r="S103" s="3" t="s">
        <v>188</v>
      </c>
      <c r="T103" s="3">
        <v>40</v>
      </c>
      <c r="U103" s="3">
        <v>7.2</v>
      </c>
      <c r="V103" s="3">
        <f t="shared" si="3"/>
        <v>16747.2</v>
      </c>
      <c r="W103" s="3">
        <v>3</v>
      </c>
      <c r="X103" s="3">
        <v>1</v>
      </c>
      <c r="Y103" s="3">
        <v>4</v>
      </c>
      <c r="Z103" s="3">
        <v>302</v>
      </c>
      <c r="AA103" s="3">
        <f t="shared" si="4"/>
        <v>150</v>
      </c>
      <c r="AB103" s="3">
        <v>606</v>
      </c>
      <c r="AC103" s="3">
        <f t="shared" si="5"/>
        <v>318.88888888888891</v>
      </c>
    </row>
    <row r="104" spans="2:29" hidden="1">
      <c r="B104" s="3" t="s">
        <v>518</v>
      </c>
      <c r="C104" s="3">
        <v>0.2</v>
      </c>
      <c r="E104" s="3" t="s">
        <v>533</v>
      </c>
      <c r="F104" s="3">
        <f>IF(J42="","",-0.3745*K2/210-2.70212*(K2/210)^2+2.09171*(K2/210)^3)</f>
        <v>-0.11648530506107378</v>
      </c>
      <c r="G104" s="3">
        <f t="shared" ref="G104:G105" si="7">IF(F104="","",10^F104)</f>
        <v>0.76474156406223093</v>
      </c>
      <c r="S104" s="3" t="s">
        <v>190</v>
      </c>
      <c r="T104" s="3">
        <v>16</v>
      </c>
      <c r="U104" s="3">
        <v>10.5</v>
      </c>
      <c r="V104" s="3">
        <f t="shared" si="3"/>
        <v>24423</v>
      </c>
      <c r="W104" s="3">
        <v>2</v>
      </c>
      <c r="X104" s="3">
        <v>3</v>
      </c>
      <c r="Y104" s="3">
        <v>1</v>
      </c>
      <c r="Z104" s="3">
        <v>54</v>
      </c>
      <c r="AA104" s="3">
        <f t="shared" si="4"/>
        <v>12.222222222222221</v>
      </c>
      <c r="AB104" s="3">
        <v>214</v>
      </c>
      <c r="AC104" s="3">
        <f t="shared" si="5"/>
        <v>101.11111111111111</v>
      </c>
    </row>
    <row r="105" spans="2:29" hidden="1">
      <c r="B105" s="3" t="s">
        <v>520</v>
      </c>
      <c r="C105" s="3">
        <v>0.75</v>
      </c>
      <c r="E105" s="3" t="s">
        <v>534</v>
      </c>
      <c r="F105" s="3">
        <f>IF(J42="","",-3.2343*K2/210+3.75127*(K2/210)^2-1.42523*(K2/210)^3)</f>
        <v>-0.41917015789872664</v>
      </c>
      <c r="G105" s="3">
        <f t="shared" si="7"/>
        <v>0.38091654989013801</v>
      </c>
      <c r="S105" s="3" t="s">
        <v>191</v>
      </c>
      <c r="T105" s="3">
        <v>24</v>
      </c>
      <c r="U105" s="3">
        <v>9.1</v>
      </c>
      <c r="V105" s="3">
        <f t="shared" si="3"/>
        <v>21166.6</v>
      </c>
      <c r="W105" s="3">
        <v>2</v>
      </c>
      <c r="X105" s="3">
        <v>3</v>
      </c>
      <c r="Y105" s="3">
        <v>2</v>
      </c>
      <c r="Z105" s="3">
        <v>35</v>
      </c>
      <c r="AA105" s="3">
        <f t="shared" si="4"/>
        <v>1.6666666666666667</v>
      </c>
      <c r="AB105" s="3">
        <v>165</v>
      </c>
      <c r="AC105" s="3">
        <f t="shared" si="5"/>
        <v>73.888888888888886</v>
      </c>
    </row>
    <row r="106" spans="2:29" hidden="1">
      <c r="B106" s="3" t="s">
        <v>521</v>
      </c>
      <c r="C106" s="3">
        <v>0.2</v>
      </c>
      <c r="S106" s="3" t="s">
        <v>192</v>
      </c>
      <c r="T106" s="3">
        <v>4</v>
      </c>
      <c r="U106" s="3">
        <v>14.9</v>
      </c>
      <c r="V106" s="3">
        <f t="shared" si="3"/>
        <v>34657.4</v>
      </c>
      <c r="W106" s="3">
        <v>1</v>
      </c>
      <c r="X106" s="3">
        <v>1</v>
      </c>
      <c r="Y106" s="3">
        <v>0</v>
      </c>
      <c r="Z106" s="3">
        <v>239</v>
      </c>
      <c r="AA106" s="3">
        <f t="shared" si="4"/>
        <v>115</v>
      </c>
      <c r="AB106" s="3">
        <v>496</v>
      </c>
      <c r="AC106" s="3">
        <f t="shared" si="5"/>
        <v>257.77777777777777</v>
      </c>
    </row>
    <row r="107" spans="2:29" hidden="1">
      <c r="S107" s="3" t="s">
        <v>193</v>
      </c>
      <c r="T107" s="3">
        <v>4</v>
      </c>
      <c r="U107" s="3">
        <v>10.8</v>
      </c>
      <c r="V107" s="3">
        <f t="shared" si="3"/>
        <v>25120.800000000003</v>
      </c>
      <c r="W107" s="3">
        <v>0</v>
      </c>
      <c r="X107" s="3">
        <v>1</v>
      </c>
      <c r="Y107" s="3">
        <v>0</v>
      </c>
      <c r="Z107" s="3">
        <v>250</v>
      </c>
      <c r="AA107" s="3">
        <f t="shared" si="4"/>
        <v>121.11111111111111</v>
      </c>
      <c r="AB107" s="3">
        <v>449</v>
      </c>
      <c r="AC107" s="3">
        <f t="shared" si="5"/>
        <v>231.66666666666666</v>
      </c>
    </row>
    <row r="108" spans="2:29" hidden="1">
      <c r="B108" s="3" t="s">
        <v>535</v>
      </c>
      <c r="D108" s="3">
        <v>0</v>
      </c>
      <c r="S108" s="3" t="s">
        <v>194</v>
      </c>
      <c r="T108" s="3">
        <v>40</v>
      </c>
      <c r="U108" s="3">
        <v>14.5</v>
      </c>
      <c r="V108" s="3">
        <f t="shared" si="3"/>
        <v>33727.000000000007</v>
      </c>
      <c r="W108" s="3">
        <v>3</v>
      </c>
      <c r="X108" s="3">
        <v>2</v>
      </c>
      <c r="Y108" s="3">
        <v>4</v>
      </c>
      <c r="Z108" s="3">
        <v>65</v>
      </c>
      <c r="AA108" s="3">
        <f t="shared" si="4"/>
        <v>18.333333333333332</v>
      </c>
      <c r="AB108" s="3">
        <v>231</v>
      </c>
      <c r="AC108" s="3">
        <f t="shared" si="5"/>
        <v>110.55555555555556</v>
      </c>
    </row>
    <row r="109" spans="2:29" hidden="1">
      <c r="B109" s="3" t="s">
        <v>537</v>
      </c>
      <c r="D109" s="3">
        <f>IF(J43="","",IF(J43&lt;18.9,0.25,IF(J43&lt;37.9,0.45,IF(J43&lt;94.6,0.75,1.15))))</f>
        <v>0.75</v>
      </c>
      <c r="G109" s="3">
        <f>MATCH(F9,B114:B122)</f>
        <v>1</v>
      </c>
      <c r="S109" s="3" t="s">
        <v>195</v>
      </c>
      <c r="T109" s="3">
        <v>29</v>
      </c>
      <c r="U109" s="3">
        <v>18.2</v>
      </c>
      <c r="V109" s="3">
        <f t="shared" si="3"/>
        <v>42333.2</v>
      </c>
      <c r="X109" s="3">
        <v>3</v>
      </c>
      <c r="Y109" s="3">
        <v>3</v>
      </c>
      <c r="Z109" s="3">
        <v>-4</v>
      </c>
      <c r="AA109" s="3">
        <f t="shared" si="4"/>
        <v>-20</v>
      </c>
      <c r="AB109" s="3">
        <v>183</v>
      </c>
      <c r="AC109" s="3">
        <f t="shared" si="5"/>
        <v>83.888888888888886</v>
      </c>
    </row>
    <row r="110" spans="2:29" hidden="1">
      <c r="B110" s="3" t="s">
        <v>536</v>
      </c>
      <c r="D110" s="3">
        <f>IF(J43="","",IF(J43&lt;18.9,0.15,IF(J43&lt;37.9,0.3,IF(J43&lt;94.6,0.5,0.75))))</f>
        <v>0.5</v>
      </c>
      <c r="G110" s="29" t="e">
        <f>ROUND(I46,0)</f>
        <v>#VALUE!</v>
      </c>
      <c r="S110" s="3" t="s">
        <v>197</v>
      </c>
      <c r="T110" s="3">
        <v>24</v>
      </c>
      <c r="U110" s="3">
        <v>14.5</v>
      </c>
      <c r="V110" s="3">
        <f t="shared" si="3"/>
        <v>33727.000000000007</v>
      </c>
      <c r="W110" s="3">
        <v>2</v>
      </c>
      <c r="X110" s="3">
        <v>3</v>
      </c>
      <c r="Y110" s="3">
        <v>2</v>
      </c>
      <c r="Z110" s="3">
        <v>-22</v>
      </c>
      <c r="AA110" s="3">
        <f t="shared" si="4"/>
        <v>-30</v>
      </c>
      <c r="AB110" s="3">
        <v>102</v>
      </c>
      <c r="AC110" s="3">
        <f t="shared" si="5"/>
        <v>38.888888888888886</v>
      </c>
    </row>
    <row r="111" spans="2:29" hidden="1">
      <c r="G111" s="3" t="e">
        <f>HLOOKUP(G110,C113:J122,G109+1)</f>
        <v>#VALUE!</v>
      </c>
      <c r="S111" s="3" t="s">
        <v>196</v>
      </c>
      <c r="T111" s="3">
        <v>24</v>
      </c>
      <c r="U111" s="3">
        <v>17.399999999999999</v>
      </c>
      <c r="V111" s="3">
        <f t="shared" si="3"/>
        <v>40472.400000000001</v>
      </c>
      <c r="W111" s="3">
        <v>2</v>
      </c>
      <c r="X111" s="3">
        <v>2</v>
      </c>
      <c r="Y111" s="3">
        <v>2</v>
      </c>
      <c r="Z111" s="3">
        <v>157</v>
      </c>
      <c r="AA111" s="3">
        <f t="shared" si="4"/>
        <v>69.444444444444443</v>
      </c>
      <c r="AB111" s="3">
        <v>392</v>
      </c>
      <c r="AC111" s="3">
        <f t="shared" si="5"/>
        <v>200</v>
      </c>
    </row>
    <row r="112" spans="2:29" hidden="1">
      <c r="S112" s="3" t="s">
        <v>198</v>
      </c>
      <c r="T112" s="3">
        <v>10</v>
      </c>
      <c r="U112" s="3">
        <v>10</v>
      </c>
      <c r="V112" s="3">
        <f t="shared" si="3"/>
        <v>23260</v>
      </c>
      <c r="W112" s="3">
        <v>2</v>
      </c>
      <c r="X112" s="3">
        <v>2</v>
      </c>
      <c r="Y112" s="3">
        <v>0</v>
      </c>
      <c r="Z112" s="3">
        <v>197</v>
      </c>
      <c r="AA112" s="3">
        <f t="shared" si="4"/>
        <v>91.666666666666671</v>
      </c>
      <c r="AB112" s="3">
        <v>381</v>
      </c>
      <c r="AC112" s="3">
        <f t="shared" si="5"/>
        <v>193.88888888888889</v>
      </c>
    </row>
    <row r="113" spans="1:29" hidden="1">
      <c r="B113" s="3" t="s">
        <v>80</v>
      </c>
      <c r="C113" s="3">
        <v>1</v>
      </c>
      <c r="D113" s="3">
        <v>2</v>
      </c>
      <c r="E113" s="3">
        <v>3</v>
      </c>
      <c r="F113" s="3">
        <v>4</v>
      </c>
      <c r="G113" s="3">
        <v>5</v>
      </c>
      <c r="H113" s="3">
        <v>6</v>
      </c>
      <c r="I113" s="34">
        <v>7</v>
      </c>
      <c r="J113" s="3">
        <v>8</v>
      </c>
      <c r="S113" s="3" t="s">
        <v>199</v>
      </c>
      <c r="T113" s="3">
        <v>10</v>
      </c>
      <c r="U113" s="3">
        <v>12.9</v>
      </c>
      <c r="V113" s="3">
        <f t="shared" si="3"/>
        <v>30005.4</v>
      </c>
      <c r="W113" s="3">
        <v>1</v>
      </c>
      <c r="X113" s="3">
        <v>2</v>
      </c>
      <c r="Y113" s="3">
        <v>0</v>
      </c>
      <c r="Z113" s="3">
        <v>150</v>
      </c>
      <c r="AA113" s="3">
        <f t="shared" si="4"/>
        <v>65.555555555555557</v>
      </c>
      <c r="AB113" s="3">
        <v>340</v>
      </c>
      <c r="AC113" s="3">
        <f t="shared" si="5"/>
        <v>171.11111111111111</v>
      </c>
    </row>
    <row r="114" spans="1:29" hidden="1">
      <c r="A114" s="3">
        <v>1</v>
      </c>
      <c r="B114" s="3">
        <v>1</v>
      </c>
      <c r="C114" s="3">
        <f>0.003907+0.002957*C113+0.004031*C113^2-0.00029*C113^3</f>
        <v>1.0605E-2</v>
      </c>
      <c r="D114" s="3">
        <f t="shared" ref="D114:J114" si="8">0.003907+0.002957*D113+0.004031*D113^2-0.00029*D113^3</f>
        <v>2.3625E-2</v>
      </c>
      <c r="E114" s="3">
        <f t="shared" si="8"/>
        <v>4.1227E-2</v>
      </c>
      <c r="F114" s="3">
        <f t="shared" si="8"/>
        <v>6.1670999999999997E-2</v>
      </c>
      <c r="G114" s="3">
        <f t="shared" si="8"/>
        <v>8.3217000000000013E-2</v>
      </c>
      <c r="H114" s="3">
        <f t="shared" si="8"/>
        <v>0.104125</v>
      </c>
      <c r="I114" s="3">
        <f t="shared" si="8"/>
        <v>0.12265499999999999</v>
      </c>
      <c r="J114" s="3">
        <f t="shared" si="8"/>
        <v>0.13706699999999999</v>
      </c>
      <c r="S114" s="3" t="s">
        <v>200</v>
      </c>
      <c r="T114" s="3">
        <v>16</v>
      </c>
      <c r="U114" s="3">
        <v>11.1</v>
      </c>
      <c r="V114" s="3">
        <f t="shared" si="3"/>
        <v>25818.6</v>
      </c>
      <c r="W114" s="3">
        <v>0</v>
      </c>
      <c r="X114" s="3">
        <v>3</v>
      </c>
      <c r="Y114" s="3">
        <v>0</v>
      </c>
      <c r="Z114" s="3">
        <v>90</v>
      </c>
      <c r="AA114" s="3">
        <f t="shared" si="4"/>
        <v>32.222222222222221</v>
      </c>
      <c r="AB114" s="3">
        <v>248</v>
      </c>
      <c r="AC114" s="3">
        <f t="shared" si="5"/>
        <v>120</v>
      </c>
    </row>
    <row r="115" spans="1:29" hidden="1">
      <c r="A115" s="3">
        <v>2</v>
      </c>
      <c r="B115" s="3">
        <v>4</v>
      </c>
      <c r="C115" s="3">
        <f>0.025817+0.019071*C113-0.00081*C113^2+0.000108*C113^3</f>
        <v>4.4185999999999996E-2</v>
      </c>
      <c r="D115" s="3">
        <f t="shared" ref="D115:J115" si="9">0.025817+0.019071*D113-0.00081*D113^2+0.000108*D113^3</f>
        <v>6.1582999999999999E-2</v>
      </c>
      <c r="E115" s="3">
        <f t="shared" si="9"/>
        <v>7.865599999999999E-2</v>
      </c>
      <c r="F115" s="3">
        <f t="shared" si="9"/>
        <v>9.6052999999999999E-2</v>
      </c>
      <c r="G115" s="3">
        <f t="shared" si="9"/>
        <v>0.11442200000000001</v>
      </c>
      <c r="H115" s="3">
        <f t="shared" si="9"/>
        <v>0.134411</v>
      </c>
      <c r="I115" s="3">
        <f t="shared" si="9"/>
        <v>0.156668</v>
      </c>
      <c r="J115" s="3">
        <f t="shared" si="9"/>
        <v>0.18184100000000003</v>
      </c>
      <c r="S115" s="3" t="s">
        <v>201</v>
      </c>
      <c r="T115" s="3">
        <v>10</v>
      </c>
      <c r="U115" s="3">
        <v>0</v>
      </c>
      <c r="V115" s="3">
        <f t="shared" si="3"/>
        <v>0</v>
      </c>
      <c r="W115" s="3">
        <v>0</v>
      </c>
      <c r="X115" s="3">
        <v>2</v>
      </c>
      <c r="Y115" s="3">
        <v>0</v>
      </c>
      <c r="Z115" s="3">
        <v>138</v>
      </c>
      <c r="AA115" s="3">
        <f t="shared" si="4"/>
        <v>58.888888888888886</v>
      </c>
      <c r="AB115" s="3">
        <v>338</v>
      </c>
      <c r="AC115" s="3">
        <f t="shared" si="5"/>
        <v>170</v>
      </c>
    </row>
    <row r="116" spans="1:29" hidden="1">
      <c r="A116" s="3">
        <v>3</v>
      </c>
      <c r="B116" s="3">
        <v>10</v>
      </c>
      <c r="C116" s="3">
        <f>0.098582+0.017596*C113+0.000809*C113^2-0.000013*C113^3</f>
        <v>0.11697400000000001</v>
      </c>
      <c r="D116" s="3">
        <f t="shared" ref="D116:J116" si="10">0.098582+0.017596*D113+0.000809*D113^2-0.000013*D113^3</f>
        <v>0.136906</v>
      </c>
      <c r="E116" s="3">
        <f t="shared" si="10"/>
        <v>0.15830000000000002</v>
      </c>
      <c r="F116" s="3">
        <f t="shared" si="10"/>
        <v>0.18107800000000002</v>
      </c>
      <c r="G116" s="3">
        <f t="shared" si="10"/>
        <v>0.20516200000000001</v>
      </c>
      <c r="H116" s="3">
        <f t="shared" si="10"/>
        <v>0.23047400000000001</v>
      </c>
      <c r="I116" s="3">
        <f t="shared" si="10"/>
        <v>0.256936</v>
      </c>
      <c r="J116" s="3">
        <f t="shared" si="10"/>
        <v>0.28447</v>
      </c>
      <c r="S116" s="3" t="s">
        <v>204</v>
      </c>
      <c r="T116" s="3">
        <v>4</v>
      </c>
      <c r="U116" s="3">
        <v>9.1</v>
      </c>
      <c r="V116" s="3">
        <f t="shared" si="3"/>
        <v>21166.6</v>
      </c>
      <c r="W116" s="3">
        <v>0</v>
      </c>
      <c r="X116" s="3">
        <v>1</v>
      </c>
      <c r="Y116" s="3">
        <v>0</v>
      </c>
      <c r="Z116" s="3">
        <v>215</v>
      </c>
      <c r="AA116" s="3">
        <f t="shared" si="4"/>
        <v>101.66666666666667</v>
      </c>
      <c r="AB116" s="3">
        <v>370</v>
      </c>
      <c r="AC116" s="3">
        <f t="shared" si="5"/>
        <v>187.77777777777777</v>
      </c>
    </row>
    <row r="117" spans="1:29" hidden="1">
      <c r="A117" s="3">
        <v>4</v>
      </c>
      <c r="B117" s="3">
        <v>14</v>
      </c>
      <c r="C117" s="3">
        <f>0.20592+0.018938*C113+0.007628*C113^2-0.00057*C113^3</f>
        <v>0.23191600000000001</v>
      </c>
      <c r="D117" s="3">
        <f t="shared" ref="D117:J117" si="11">0.20592+0.018938*D113+0.007628*D113^2-0.00057*D113^3</f>
        <v>0.26974799999999999</v>
      </c>
      <c r="E117" s="3">
        <f t="shared" si="11"/>
        <v>0.315996</v>
      </c>
      <c r="F117" s="3">
        <f t="shared" si="11"/>
        <v>0.36723999999999996</v>
      </c>
      <c r="G117" s="3">
        <f t="shared" si="11"/>
        <v>0.42006000000000004</v>
      </c>
      <c r="H117" s="3">
        <f t="shared" si="11"/>
        <v>0.47103600000000001</v>
      </c>
      <c r="I117" s="3">
        <f t="shared" si="11"/>
        <v>0.51674799999999999</v>
      </c>
      <c r="J117" s="3">
        <f t="shared" si="11"/>
        <v>0.55377599999999993</v>
      </c>
      <c r="S117" s="3" t="s">
        <v>205</v>
      </c>
      <c r="T117" s="3">
        <v>1</v>
      </c>
      <c r="U117" s="3">
        <v>0</v>
      </c>
      <c r="V117" s="3">
        <f t="shared" si="3"/>
        <v>0</v>
      </c>
      <c r="W117" s="3">
        <v>0</v>
      </c>
      <c r="X117" s="3">
        <v>0</v>
      </c>
      <c r="Y117" s="3">
        <v>0</v>
      </c>
      <c r="AA117" s="3" t="str">
        <f t="shared" si="4"/>
        <v/>
      </c>
      <c r="AB117" s="3">
        <v>240</v>
      </c>
      <c r="AC117" s="3">
        <f t="shared" si="5"/>
        <v>115.55555555555556</v>
      </c>
    </row>
    <row r="118" spans="1:29" hidden="1">
      <c r="A118" s="3">
        <v>5</v>
      </c>
      <c r="B118" s="3">
        <v>16</v>
      </c>
      <c r="C118" s="3">
        <f>0.256741+0.019886*C113+0.011055*C113^2-0.00088*C113^3</f>
        <v>0.286802</v>
      </c>
      <c r="D118" s="3">
        <f t="shared" ref="D118:J118" si="12">0.256741+0.019886*D113+0.011055*D113^2-0.00088*D113^3</f>
        <v>0.33369300000000002</v>
      </c>
      <c r="E118" s="3">
        <f t="shared" si="12"/>
        <v>0.39213399999999998</v>
      </c>
      <c r="F118" s="3">
        <f t="shared" si="12"/>
        <v>0.456845</v>
      </c>
      <c r="G118" s="3">
        <f t="shared" si="12"/>
        <v>0.52254600000000007</v>
      </c>
      <c r="H118" s="3">
        <f t="shared" si="12"/>
        <v>0.58395699999999995</v>
      </c>
      <c r="I118" s="3">
        <f t="shared" si="12"/>
        <v>0.63579799999999997</v>
      </c>
      <c r="J118" s="3">
        <f t="shared" si="12"/>
        <v>0.67278900000000008</v>
      </c>
      <c r="S118" s="3" t="s">
        <v>206</v>
      </c>
      <c r="T118" s="3">
        <v>1</v>
      </c>
      <c r="U118" s="3">
        <v>0</v>
      </c>
      <c r="V118" s="3">
        <f t="shared" si="3"/>
        <v>0</v>
      </c>
      <c r="W118" s="3">
        <v>0</v>
      </c>
      <c r="X118" s="3">
        <v>0</v>
      </c>
      <c r="Y118" s="3">
        <v>0</v>
      </c>
      <c r="Z118" s="3">
        <v>300</v>
      </c>
      <c r="AA118" s="3">
        <f t="shared" si="4"/>
        <v>148.88888888888889</v>
      </c>
      <c r="AB118" s="3">
        <v>473</v>
      </c>
      <c r="AC118" s="3">
        <f t="shared" si="5"/>
        <v>245</v>
      </c>
    </row>
    <row r="119" spans="1:29" hidden="1">
      <c r="A119" s="3">
        <v>6</v>
      </c>
      <c r="B119" s="3">
        <v>21</v>
      </c>
      <c r="C119" s="3">
        <f>0.340314+0.076531*C113+0.003912*C113^2-0.00073*C113^3</f>
        <v>0.42002700000000004</v>
      </c>
      <c r="D119" s="3">
        <f t="shared" ref="D119:J119" si="13">0.340314+0.076531*D113+0.003912*D113^2-0.00073*D113^3</f>
        <v>0.50318400000000008</v>
      </c>
      <c r="E119" s="3">
        <f t="shared" si="13"/>
        <v>0.58540499999999995</v>
      </c>
      <c r="F119" s="3">
        <f t="shared" si="13"/>
        <v>0.66231000000000007</v>
      </c>
      <c r="G119" s="3">
        <f t="shared" si="13"/>
        <v>0.72951900000000003</v>
      </c>
      <c r="H119" s="3">
        <f t="shared" si="13"/>
        <v>0.7826519999999999</v>
      </c>
      <c r="I119" s="3">
        <f t="shared" si="13"/>
        <v>0.81732900000000008</v>
      </c>
      <c r="J119" s="3">
        <f t="shared" si="13"/>
        <v>0.82917000000000007</v>
      </c>
      <c r="S119" s="3" t="s">
        <v>203</v>
      </c>
      <c r="T119" s="3">
        <v>24</v>
      </c>
      <c r="U119" s="3">
        <v>9.3000000000000007</v>
      </c>
      <c r="V119" s="3">
        <f t="shared" si="3"/>
        <v>21631.800000000003</v>
      </c>
      <c r="W119" s="3">
        <v>2</v>
      </c>
      <c r="X119" s="3">
        <v>2</v>
      </c>
      <c r="Y119" s="3">
        <v>2</v>
      </c>
      <c r="AA119" s="3" t="str">
        <f t="shared" si="4"/>
        <v/>
      </c>
      <c r="AC119" s="3" t="str">
        <f t="shared" si="5"/>
        <v/>
      </c>
    </row>
    <row r="120" spans="1:29" hidden="1">
      <c r="A120" s="3">
        <v>7</v>
      </c>
      <c r="B120" s="3">
        <v>24</v>
      </c>
      <c r="C120" s="3">
        <f>0.395755+0.096443*C113-0.00135*C113^2-0.00038*C113^3</f>
        <v>0.49046800000000002</v>
      </c>
      <c r="D120" s="3">
        <f t="shared" ref="D120:J120" si="14">0.395755+0.096443*D113-0.00135*D113^2-0.00038*D113^3</f>
        <v>0.58020099999999997</v>
      </c>
      <c r="E120" s="3">
        <f t="shared" si="14"/>
        <v>0.66267399999999999</v>
      </c>
      <c r="F120" s="3">
        <f t="shared" si="14"/>
        <v>0.73560700000000012</v>
      </c>
      <c r="G120" s="3">
        <f t="shared" si="14"/>
        <v>0.79671999999999998</v>
      </c>
      <c r="H120" s="3">
        <f t="shared" si="14"/>
        <v>0.84373299999999996</v>
      </c>
      <c r="I120" s="3">
        <f t="shared" si="14"/>
        <v>0.87436600000000009</v>
      </c>
      <c r="J120" s="3">
        <f t="shared" si="14"/>
        <v>0.88633899999999999</v>
      </c>
      <c r="S120" s="3" t="s">
        <v>202</v>
      </c>
      <c r="T120" s="3">
        <v>24</v>
      </c>
      <c r="U120" s="3">
        <v>7</v>
      </c>
      <c r="V120" s="3">
        <f t="shared" si="3"/>
        <v>16282</v>
      </c>
      <c r="W120" s="3">
        <v>2</v>
      </c>
      <c r="X120" s="3">
        <v>2</v>
      </c>
      <c r="Y120" s="3">
        <v>2</v>
      </c>
      <c r="AA120" s="3" t="str">
        <f t="shared" si="4"/>
        <v/>
      </c>
      <c r="AC120" s="3" t="str">
        <f t="shared" si="5"/>
        <v/>
      </c>
    </row>
    <row r="121" spans="1:29" hidden="1">
      <c r="A121" s="3">
        <v>8</v>
      </c>
      <c r="B121" s="3">
        <v>29</v>
      </c>
      <c r="C121" s="3">
        <f>0.484766+0.094288*C113-0.00216*C113^2-0.00031*C113^3</f>
        <v>0.57658399999999987</v>
      </c>
      <c r="D121" s="3">
        <f t="shared" ref="D121:J121" si="15">0.484766+0.094288*D113-0.00216*D113^2-0.00031*D113^3</f>
        <v>0.66222199999999998</v>
      </c>
      <c r="E121" s="3">
        <f t="shared" si="15"/>
        <v>0.73982000000000003</v>
      </c>
      <c r="F121" s="3">
        <f t="shared" si="15"/>
        <v>0.80751799999999996</v>
      </c>
      <c r="G121" s="3">
        <f t="shared" si="15"/>
        <v>0.86345599999999989</v>
      </c>
      <c r="H121" s="3">
        <f t="shared" si="15"/>
        <v>0.90577399999999997</v>
      </c>
      <c r="I121" s="3">
        <f t="shared" si="15"/>
        <v>0.932612</v>
      </c>
      <c r="J121" s="3">
        <f t="shared" si="15"/>
        <v>0.94211</v>
      </c>
      <c r="S121" s="3" t="s">
        <v>207</v>
      </c>
      <c r="T121" s="3">
        <v>4</v>
      </c>
      <c r="U121" s="3">
        <v>7</v>
      </c>
      <c r="V121" s="3">
        <f t="shared" si="3"/>
        <v>16282</v>
      </c>
      <c r="W121" s="3">
        <v>1</v>
      </c>
      <c r="X121" s="3">
        <v>1</v>
      </c>
      <c r="Y121" s="3">
        <v>0</v>
      </c>
      <c r="Z121" s="3">
        <v>252</v>
      </c>
      <c r="AA121" s="3">
        <f t="shared" si="4"/>
        <v>122.22222222222223</v>
      </c>
      <c r="AB121" s="3">
        <v>330</v>
      </c>
      <c r="AC121" s="3">
        <f t="shared" si="5"/>
        <v>165.55555555555554</v>
      </c>
    </row>
    <row r="122" spans="1:29" hidden="1">
      <c r="A122" s="3">
        <v>9</v>
      </c>
      <c r="B122" s="3">
        <v>40</v>
      </c>
      <c r="C122" s="3">
        <f>0.554175+0.080772*C113+0.000332*C113-0.00044*C113^3</f>
        <v>0.63483899999999993</v>
      </c>
      <c r="D122" s="3">
        <f t="shared" ref="D122:J122" si="16">0.554175+0.080772*D113+0.000332*D113-0.00044*D113^3</f>
        <v>0.71286300000000002</v>
      </c>
      <c r="E122" s="3">
        <f t="shared" si="16"/>
        <v>0.78560699999999994</v>
      </c>
      <c r="F122" s="3">
        <f t="shared" si="16"/>
        <v>0.85043099999999994</v>
      </c>
      <c r="G122" s="3">
        <f t="shared" si="16"/>
        <v>0.90469499999999992</v>
      </c>
      <c r="H122" s="3">
        <f t="shared" si="16"/>
        <v>0.94575899999999979</v>
      </c>
      <c r="I122" s="3">
        <f t="shared" si="16"/>
        <v>0.97098299999999993</v>
      </c>
      <c r="J122" s="3">
        <f t="shared" si="16"/>
        <v>0.9777269999999999</v>
      </c>
      <c r="S122" s="3" t="s">
        <v>208</v>
      </c>
      <c r="T122" s="3">
        <v>4</v>
      </c>
      <c r="U122" s="3">
        <v>15.5</v>
      </c>
      <c r="V122" s="3">
        <f t="shared" si="3"/>
        <v>36053.000000000007</v>
      </c>
      <c r="W122" s="3">
        <v>2</v>
      </c>
      <c r="X122" s="3">
        <v>1</v>
      </c>
      <c r="Y122" s="3">
        <v>0</v>
      </c>
      <c r="Z122" s="3">
        <v>232</v>
      </c>
      <c r="AA122" s="3">
        <f t="shared" si="4"/>
        <v>111.11111111111111</v>
      </c>
      <c r="AB122" s="3">
        <v>495</v>
      </c>
      <c r="AC122" s="3">
        <f t="shared" si="5"/>
        <v>257.22222222222223</v>
      </c>
    </row>
    <row r="123" spans="1:29" hidden="1">
      <c r="S123" s="3" t="s">
        <v>209</v>
      </c>
      <c r="T123" s="3">
        <v>4</v>
      </c>
      <c r="U123" s="3">
        <v>15.5</v>
      </c>
      <c r="V123" s="3">
        <f t="shared" si="3"/>
        <v>36053.000000000007</v>
      </c>
      <c r="W123" s="3">
        <v>1</v>
      </c>
      <c r="X123" s="3">
        <v>1</v>
      </c>
      <c r="Y123" s="3">
        <v>0</v>
      </c>
      <c r="Z123" s="3">
        <v>266</v>
      </c>
      <c r="AA123" s="3">
        <f t="shared" si="4"/>
        <v>130</v>
      </c>
      <c r="AB123" s="3">
        <v>551</v>
      </c>
      <c r="AC123" s="3">
        <f t="shared" si="5"/>
        <v>288.33333333333331</v>
      </c>
    </row>
    <row r="124" spans="1:29" hidden="1">
      <c r="S124" s="3" t="s">
        <v>210</v>
      </c>
      <c r="T124" s="3">
        <v>4</v>
      </c>
      <c r="U124" s="3">
        <v>0</v>
      </c>
      <c r="V124" s="3">
        <f t="shared" si="3"/>
        <v>0</v>
      </c>
      <c r="W124" s="3">
        <v>1</v>
      </c>
      <c r="X124" s="3">
        <v>1</v>
      </c>
      <c r="Y124" s="3">
        <v>0</v>
      </c>
      <c r="Z124" s="3">
        <v>322</v>
      </c>
      <c r="AA124" s="3">
        <f t="shared" si="4"/>
        <v>161.11111111111111</v>
      </c>
      <c r="AB124" s="3">
        <v>650</v>
      </c>
      <c r="AC124" s="3">
        <f t="shared" si="5"/>
        <v>343.33333333333331</v>
      </c>
    </row>
    <row r="125" spans="1:29" hidden="1">
      <c r="S125" s="3" t="s">
        <v>211</v>
      </c>
      <c r="T125" s="3">
        <v>10</v>
      </c>
      <c r="U125" s="3">
        <v>17.8</v>
      </c>
      <c r="V125" s="3">
        <f t="shared" si="3"/>
        <v>41402.800000000003</v>
      </c>
      <c r="W125" s="3">
        <v>1</v>
      </c>
      <c r="X125" s="3">
        <v>2</v>
      </c>
      <c r="Y125" s="3">
        <v>0</v>
      </c>
      <c r="Z125" s="3">
        <v>136</v>
      </c>
      <c r="AA125" s="3">
        <f t="shared" si="4"/>
        <v>57.777777777777779</v>
      </c>
      <c r="AB125" s="3">
        <v>358</v>
      </c>
      <c r="AC125" s="3">
        <f t="shared" si="5"/>
        <v>181.11111111111111</v>
      </c>
    </row>
    <row r="126" spans="1:29" hidden="1">
      <c r="S126" s="3" t="s">
        <v>212</v>
      </c>
      <c r="T126" s="3">
        <v>4</v>
      </c>
      <c r="U126" s="3">
        <v>16</v>
      </c>
      <c r="V126" s="3">
        <f t="shared" si="3"/>
        <v>37216</v>
      </c>
      <c r="W126" s="3">
        <v>1</v>
      </c>
      <c r="X126" s="3">
        <v>1</v>
      </c>
      <c r="Y126" s="3">
        <v>0</v>
      </c>
      <c r="Z126" s="3">
        <v>240</v>
      </c>
      <c r="AA126" s="3">
        <f t="shared" si="4"/>
        <v>115.55555555555556</v>
      </c>
      <c r="AB126" s="3">
        <v>550</v>
      </c>
      <c r="AC126" s="3">
        <f t="shared" si="5"/>
        <v>287.77777777777777</v>
      </c>
    </row>
    <row r="127" spans="1:29" hidden="1">
      <c r="S127" s="3" t="s">
        <v>213</v>
      </c>
      <c r="T127" s="3">
        <v>4</v>
      </c>
      <c r="U127" s="3">
        <v>17.3</v>
      </c>
      <c r="V127" s="3">
        <f t="shared" si="3"/>
        <v>40239.800000000003</v>
      </c>
      <c r="W127" s="3">
        <v>1</v>
      </c>
      <c r="X127" s="3">
        <v>1</v>
      </c>
      <c r="Y127" s="3">
        <v>0</v>
      </c>
      <c r="Z127" s="3">
        <v>249</v>
      </c>
      <c r="AA127" s="3">
        <f t="shared" si="4"/>
        <v>120.55555555555556</v>
      </c>
      <c r="AB127" s="3">
        <v>513</v>
      </c>
      <c r="AC127" s="3">
        <f t="shared" si="5"/>
        <v>267.22222222222223</v>
      </c>
    </row>
    <row r="128" spans="1:29" hidden="1">
      <c r="S128" s="3" t="s">
        <v>214</v>
      </c>
      <c r="T128" s="3">
        <v>4</v>
      </c>
      <c r="U128" s="3">
        <v>7</v>
      </c>
      <c r="V128" s="3">
        <f t="shared" si="3"/>
        <v>16282</v>
      </c>
      <c r="W128" s="3">
        <v>1</v>
      </c>
      <c r="X128" s="3">
        <v>1</v>
      </c>
      <c r="Y128" s="3">
        <v>0</v>
      </c>
      <c r="Z128" s="3">
        <v>232</v>
      </c>
      <c r="AA128" s="3">
        <f t="shared" si="4"/>
        <v>111.11111111111111</v>
      </c>
      <c r="AB128" s="3">
        <v>325</v>
      </c>
      <c r="AC128" s="3">
        <f t="shared" si="5"/>
        <v>162.77777777777777</v>
      </c>
    </row>
    <row r="129" spans="19:29" hidden="1">
      <c r="S129" s="3" t="s">
        <v>215</v>
      </c>
      <c r="T129" s="3">
        <v>14</v>
      </c>
      <c r="U129" s="3">
        <v>19.8</v>
      </c>
      <c r="V129" s="3">
        <f t="shared" si="3"/>
        <v>46054.8</v>
      </c>
      <c r="W129" s="3">
        <v>1</v>
      </c>
      <c r="X129" s="3">
        <v>2</v>
      </c>
      <c r="Y129" s="3">
        <v>1</v>
      </c>
      <c r="Z129" s="3">
        <v>81</v>
      </c>
      <c r="AA129" s="3">
        <f t="shared" si="4"/>
        <v>27.222222222222221</v>
      </c>
      <c r="AC129" s="3" t="str">
        <f t="shared" si="5"/>
        <v/>
      </c>
    </row>
    <row r="130" spans="19:29" hidden="1">
      <c r="S130" s="3" t="s">
        <v>216</v>
      </c>
      <c r="T130" s="3">
        <v>24</v>
      </c>
      <c r="U130" s="3">
        <v>7.2</v>
      </c>
      <c r="V130" s="3">
        <f t="shared" ref="V130:V193" si="17">IF(U130="","",2.326*U130*1000)</f>
        <v>16747.2</v>
      </c>
      <c r="W130" s="3">
        <v>3</v>
      </c>
      <c r="X130" s="3">
        <v>3</v>
      </c>
      <c r="Y130" s="3">
        <v>2</v>
      </c>
      <c r="Z130" s="3">
        <v>88</v>
      </c>
      <c r="AA130" s="3">
        <f t="shared" ref="AA130:AA193" si="18">IF(Z130="","",5*(Z130-32)/9)</f>
        <v>31.111111111111111</v>
      </c>
      <c r="AB130" s="3">
        <v>214</v>
      </c>
      <c r="AC130" s="3">
        <f t="shared" ref="AC130:AC193" si="19">IF(AB130="","",5*(AB130-32)/9)</f>
        <v>101.11111111111111</v>
      </c>
    </row>
    <row r="131" spans="19:29" hidden="1">
      <c r="S131" s="3" t="s">
        <v>217</v>
      </c>
      <c r="T131" s="3">
        <v>21</v>
      </c>
      <c r="U131" s="3">
        <v>20.399999999999999</v>
      </c>
      <c r="V131" s="3">
        <f t="shared" si="17"/>
        <v>47450.399999999994</v>
      </c>
      <c r="W131" s="3">
        <v>1</v>
      </c>
      <c r="X131" s="3">
        <v>4</v>
      </c>
      <c r="Y131" s="3">
        <v>0</v>
      </c>
      <c r="AA131" s="3" t="str">
        <f t="shared" si="18"/>
        <v/>
      </c>
      <c r="AB131" s="3">
        <v>-128</v>
      </c>
      <c r="AC131" s="3">
        <f t="shared" si="19"/>
        <v>-88.888888888888886</v>
      </c>
    </row>
    <row r="132" spans="19:29" hidden="1">
      <c r="S132" s="3" t="s">
        <v>218</v>
      </c>
      <c r="T132" s="3">
        <v>10</v>
      </c>
      <c r="U132" s="3">
        <v>9.5</v>
      </c>
      <c r="V132" s="3">
        <f t="shared" si="17"/>
        <v>22097</v>
      </c>
      <c r="W132" s="3">
        <v>2</v>
      </c>
      <c r="X132" s="3">
        <v>2</v>
      </c>
      <c r="Y132" s="3">
        <v>0</v>
      </c>
      <c r="Z132" s="3">
        <v>185</v>
      </c>
      <c r="AA132" s="3">
        <f t="shared" si="18"/>
        <v>85</v>
      </c>
      <c r="AB132" s="3">
        <v>339</v>
      </c>
      <c r="AC132" s="3">
        <f t="shared" si="19"/>
        <v>170.55555555555554</v>
      </c>
    </row>
    <row r="133" spans="19:29" hidden="1">
      <c r="S133" s="3" t="s">
        <v>244</v>
      </c>
      <c r="T133" s="3">
        <v>21</v>
      </c>
      <c r="U133" s="3">
        <v>12.7</v>
      </c>
      <c r="V133" s="3">
        <f t="shared" si="17"/>
        <v>29540.199999999997</v>
      </c>
      <c r="W133" s="3">
        <v>2</v>
      </c>
      <c r="X133" s="3">
        <v>4</v>
      </c>
      <c r="Y133" s="3">
        <v>0</v>
      </c>
      <c r="Z133" s="3">
        <v>0</v>
      </c>
      <c r="AA133" s="3">
        <f t="shared" si="18"/>
        <v>-17.777777777777779</v>
      </c>
      <c r="AB133" s="3">
        <v>95</v>
      </c>
      <c r="AC133" s="3">
        <f t="shared" si="19"/>
        <v>35</v>
      </c>
    </row>
    <row r="134" spans="19:29" hidden="1">
      <c r="S134" s="3" t="s">
        <v>219</v>
      </c>
      <c r="T134" s="3">
        <v>16</v>
      </c>
      <c r="U134" s="3">
        <v>10.1</v>
      </c>
      <c r="V134" s="3">
        <f t="shared" si="17"/>
        <v>23492.6</v>
      </c>
      <c r="W134" s="3">
        <v>1</v>
      </c>
      <c r="X134" s="3">
        <v>3</v>
      </c>
      <c r="Y134" s="3">
        <v>0</v>
      </c>
      <c r="Z134" s="3">
        <v>24</v>
      </c>
      <c r="AA134" s="3">
        <f t="shared" si="18"/>
        <v>-4.4444444444444446</v>
      </c>
      <c r="AB134" s="3">
        <v>171</v>
      </c>
      <c r="AC134" s="3">
        <f t="shared" si="19"/>
        <v>77.222222222222229</v>
      </c>
    </row>
    <row r="135" spans="19:29" hidden="1">
      <c r="S135" s="3" t="s">
        <v>220</v>
      </c>
      <c r="T135" s="3">
        <v>24</v>
      </c>
      <c r="U135" s="3">
        <v>11</v>
      </c>
      <c r="V135" s="3">
        <f t="shared" si="17"/>
        <v>25586.000000000004</v>
      </c>
      <c r="W135" s="3">
        <v>2</v>
      </c>
      <c r="X135" s="3">
        <v>3</v>
      </c>
      <c r="Y135" s="3">
        <v>2</v>
      </c>
      <c r="Z135" s="3">
        <v>48</v>
      </c>
      <c r="AA135" s="3">
        <f t="shared" si="18"/>
        <v>8.8888888888888893</v>
      </c>
      <c r="AB135" s="3">
        <v>211</v>
      </c>
      <c r="AC135" s="3">
        <f t="shared" si="19"/>
        <v>99.444444444444443</v>
      </c>
    </row>
    <row r="136" spans="19:29" hidden="1">
      <c r="S136" s="3" t="s">
        <v>221</v>
      </c>
      <c r="T136" s="3">
        <v>16</v>
      </c>
      <c r="U136" s="3">
        <v>11.5</v>
      </c>
      <c r="V136" s="3">
        <f t="shared" si="17"/>
        <v>26749.000000000004</v>
      </c>
      <c r="W136" s="3">
        <v>0</v>
      </c>
      <c r="X136" s="3">
        <v>3</v>
      </c>
      <c r="Y136" s="3">
        <v>0</v>
      </c>
      <c r="Z136" s="3">
        <v>55</v>
      </c>
      <c r="AA136" s="3">
        <f t="shared" si="18"/>
        <v>12.777777777777779</v>
      </c>
      <c r="AB136" s="3">
        <v>173</v>
      </c>
      <c r="AC136" s="3">
        <f t="shared" si="19"/>
        <v>78.333333333333329</v>
      </c>
    </row>
    <row r="137" spans="19:29" hidden="1">
      <c r="S137" s="3" t="s">
        <v>223</v>
      </c>
      <c r="T137" s="3">
        <v>16</v>
      </c>
      <c r="U137" s="3">
        <v>17.600000000000001</v>
      </c>
      <c r="V137" s="3">
        <f t="shared" si="17"/>
        <v>40937.600000000006</v>
      </c>
      <c r="W137" s="3">
        <v>2</v>
      </c>
      <c r="X137" s="3">
        <v>3</v>
      </c>
      <c r="Y137" s="3">
        <v>0</v>
      </c>
      <c r="Z137" s="3">
        <v>70</v>
      </c>
      <c r="AA137" s="3">
        <f t="shared" si="18"/>
        <v>21.111111111111111</v>
      </c>
      <c r="AB137" s="3">
        <v>277</v>
      </c>
      <c r="AC137" s="3">
        <f t="shared" si="19"/>
        <v>136.11111111111111</v>
      </c>
    </row>
    <row r="138" spans="19:29" hidden="1">
      <c r="S138" s="3" t="s">
        <v>224</v>
      </c>
      <c r="T138" s="3">
        <v>4</v>
      </c>
      <c r="U138" s="3">
        <v>12.2</v>
      </c>
      <c r="V138" s="3">
        <f t="shared" si="17"/>
        <v>28377.199999999997</v>
      </c>
      <c r="W138" s="3">
        <v>1</v>
      </c>
      <c r="X138" s="3">
        <v>1</v>
      </c>
      <c r="Y138" s="3">
        <v>0</v>
      </c>
      <c r="Z138" s="3">
        <v>190</v>
      </c>
      <c r="AA138" s="3">
        <f t="shared" si="18"/>
        <v>87.777777777777771</v>
      </c>
      <c r="AB138" s="3">
        <v>414</v>
      </c>
      <c r="AC138" s="3">
        <f t="shared" si="19"/>
        <v>212.22222222222223</v>
      </c>
    </row>
    <row r="139" spans="19:29" hidden="1">
      <c r="S139" s="3" t="s">
        <v>225</v>
      </c>
      <c r="T139" s="3">
        <v>4</v>
      </c>
      <c r="U139" s="3">
        <v>5.6</v>
      </c>
      <c r="V139" s="3">
        <f t="shared" si="17"/>
        <v>13025.599999999999</v>
      </c>
      <c r="W139" s="3">
        <v>2</v>
      </c>
      <c r="X139" s="3">
        <v>1</v>
      </c>
      <c r="Y139" s="3">
        <v>0</v>
      </c>
      <c r="AA139" s="3" t="str">
        <f t="shared" si="18"/>
        <v/>
      </c>
      <c r="AB139" s="3">
        <v>100</v>
      </c>
      <c r="AC139" s="3">
        <f t="shared" si="19"/>
        <v>37.777777777777779</v>
      </c>
    </row>
    <row r="140" spans="19:29" hidden="1">
      <c r="S140" s="3" t="s">
        <v>227</v>
      </c>
      <c r="T140" s="3">
        <v>14</v>
      </c>
      <c r="U140" s="3">
        <v>10.6</v>
      </c>
      <c r="V140" s="3">
        <f t="shared" si="17"/>
        <v>24655.599999999999</v>
      </c>
      <c r="W140" s="3">
        <v>2</v>
      </c>
      <c r="X140" s="3">
        <v>2</v>
      </c>
      <c r="Y140" s="3">
        <v>1</v>
      </c>
      <c r="Z140" s="3">
        <v>122</v>
      </c>
      <c r="AA140" s="3">
        <f t="shared" si="18"/>
        <v>50</v>
      </c>
      <c r="AB140" s="3">
        <v>275</v>
      </c>
      <c r="AC140" s="3">
        <f t="shared" si="19"/>
        <v>135</v>
      </c>
    </row>
    <row r="141" spans="19:29" hidden="1">
      <c r="S141" s="3" t="s">
        <v>228</v>
      </c>
      <c r="T141" s="3">
        <v>16</v>
      </c>
      <c r="U141" s="3">
        <v>12.2</v>
      </c>
      <c r="V141" s="3">
        <f t="shared" si="17"/>
        <v>28377.199999999997</v>
      </c>
      <c r="W141" s="3">
        <v>0</v>
      </c>
      <c r="X141" s="3">
        <v>3</v>
      </c>
      <c r="Y141" s="3">
        <v>0</v>
      </c>
      <c r="Z141" s="3">
        <v>75</v>
      </c>
      <c r="AA141" s="3">
        <f t="shared" si="18"/>
        <v>23.888888888888889</v>
      </c>
      <c r="AB141" s="3">
        <v>248</v>
      </c>
      <c r="AC141" s="3">
        <f t="shared" si="19"/>
        <v>120</v>
      </c>
    </row>
    <row r="142" spans="19:29" hidden="1">
      <c r="S142" s="3" t="s">
        <v>229</v>
      </c>
      <c r="T142" s="3">
        <v>21</v>
      </c>
      <c r="U142" s="3">
        <v>8.1999999999999993</v>
      </c>
      <c r="V142" s="3">
        <f t="shared" si="17"/>
        <v>19073.2</v>
      </c>
      <c r="W142" s="3">
        <v>1</v>
      </c>
      <c r="X142" s="3">
        <v>4</v>
      </c>
      <c r="Y142" s="3">
        <v>0</v>
      </c>
      <c r="Z142" s="3">
        <v>-58</v>
      </c>
      <c r="AA142" s="3">
        <f t="shared" si="18"/>
        <v>-50</v>
      </c>
      <c r="AB142" s="3">
        <v>54</v>
      </c>
      <c r="AC142" s="3">
        <f t="shared" si="19"/>
        <v>12.222222222222221</v>
      </c>
    </row>
    <row r="143" spans="19:29" hidden="1">
      <c r="S143" s="3" t="s">
        <v>230</v>
      </c>
      <c r="T143" s="3">
        <v>16</v>
      </c>
      <c r="U143" s="3">
        <v>5.2</v>
      </c>
      <c r="V143" s="3">
        <f t="shared" si="17"/>
        <v>12095.2</v>
      </c>
      <c r="W143" s="3">
        <v>3</v>
      </c>
      <c r="X143" s="3">
        <v>3</v>
      </c>
      <c r="Y143" s="3">
        <v>1</v>
      </c>
      <c r="Z143" s="3">
        <v>61</v>
      </c>
      <c r="AA143" s="3">
        <f t="shared" si="18"/>
        <v>16.111111111111111</v>
      </c>
      <c r="AB143" s="3">
        <v>203</v>
      </c>
      <c r="AC143" s="3">
        <f t="shared" si="19"/>
        <v>95</v>
      </c>
    </row>
    <row r="144" spans="19:29" hidden="1">
      <c r="S144" s="3" t="s">
        <v>240</v>
      </c>
      <c r="T144" s="3">
        <v>21</v>
      </c>
      <c r="U144" s="3">
        <v>14.4</v>
      </c>
      <c r="V144" s="3">
        <f t="shared" si="17"/>
        <v>33494.400000000001</v>
      </c>
      <c r="W144" s="3">
        <v>2</v>
      </c>
      <c r="X144" s="3">
        <v>4</v>
      </c>
      <c r="Y144" s="3">
        <v>1</v>
      </c>
      <c r="Z144" s="3">
        <v>-49</v>
      </c>
      <c r="AA144" s="3">
        <f t="shared" si="18"/>
        <v>-45</v>
      </c>
      <c r="AB144" s="3">
        <v>94</v>
      </c>
      <c r="AC144" s="3">
        <f t="shared" si="19"/>
        <v>34.444444444444443</v>
      </c>
    </row>
    <row r="145" spans="3:29" hidden="1">
      <c r="S145" s="3" t="s">
        <v>241</v>
      </c>
      <c r="T145" s="3">
        <v>16</v>
      </c>
      <c r="U145" s="3">
        <v>8.6999999999999993</v>
      </c>
      <c r="V145" s="3">
        <f t="shared" si="17"/>
        <v>20236.2</v>
      </c>
      <c r="W145" s="3">
        <v>2</v>
      </c>
      <c r="X145" s="3">
        <v>3</v>
      </c>
      <c r="Y145" s="3">
        <v>0</v>
      </c>
      <c r="Z145" s="3">
        <v>-4</v>
      </c>
      <c r="AA145" s="3">
        <f t="shared" si="18"/>
        <v>-20</v>
      </c>
      <c r="AB145" s="3">
        <v>130</v>
      </c>
      <c r="AC145" s="3">
        <f t="shared" si="19"/>
        <v>54.444444444444443</v>
      </c>
    </row>
    <row r="146" spans="3:29" hidden="1">
      <c r="S146" s="3" t="s">
        <v>245</v>
      </c>
      <c r="T146" s="3">
        <v>40</v>
      </c>
      <c r="U146" s="3">
        <v>6.4</v>
      </c>
      <c r="V146" s="3">
        <f t="shared" si="17"/>
        <v>14886.400000000001</v>
      </c>
      <c r="W146" s="3">
        <v>2</v>
      </c>
      <c r="X146" s="3">
        <v>3</v>
      </c>
      <c r="Y146" s="3">
        <v>4</v>
      </c>
      <c r="Z146" s="3">
        <v>50</v>
      </c>
      <c r="AA146" s="3">
        <f t="shared" si="18"/>
        <v>10</v>
      </c>
      <c r="AB146" s="3">
        <v>190</v>
      </c>
      <c r="AC146" s="3">
        <f t="shared" si="19"/>
        <v>87.777777777777771</v>
      </c>
    </row>
    <row r="147" spans="3:29" hidden="1">
      <c r="S147" s="3" t="s">
        <v>246</v>
      </c>
      <c r="T147" s="3">
        <v>16</v>
      </c>
      <c r="U147" s="3">
        <v>15.2</v>
      </c>
      <c r="V147" s="3">
        <f t="shared" si="17"/>
        <v>35355.199999999997</v>
      </c>
      <c r="W147" s="3">
        <v>1</v>
      </c>
      <c r="X147" s="3">
        <v>3</v>
      </c>
      <c r="Y147" s="3">
        <v>0</v>
      </c>
      <c r="Z147" s="3">
        <v>-4</v>
      </c>
      <c r="AA147" s="3">
        <f t="shared" si="18"/>
        <v>-20</v>
      </c>
      <c r="AB147" s="3">
        <v>147</v>
      </c>
      <c r="AC147" s="3">
        <f t="shared" si="19"/>
        <v>63.888888888888886</v>
      </c>
    </row>
    <row r="148" spans="3:29" hidden="1">
      <c r="S148" s="3" t="s">
        <v>247</v>
      </c>
      <c r="T148" s="3">
        <v>10</v>
      </c>
      <c r="U148" s="3">
        <v>17.7</v>
      </c>
      <c r="V148" s="3">
        <f t="shared" si="17"/>
        <v>41170.200000000004</v>
      </c>
      <c r="W148" s="3">
        <v>3</v>
      </c>
      <c r="X148" s="3">
        <v>2</v>
      </c>
      <c r="Y148" s="3">
        <v>0</v>
      </c>
      <c r="Z148" s="3">
        <v>887</v>
      </c>
      <c r="AA148" s="3">
        <f t="shared" si="18"/>
        <v>475</v>
      </c>
      <c r="AB148" s="3">
        <v>324</v>
      </c>
      <c r="AC148" s="3">
        <f t="shared" si="19"/>
        <v>162.22222222222223</v>
      </c>
    </row>
    <row r="149" spans="3:29" hidden="1">
      <c r="S149" s="3" t="s">
        <v>222</v>
      </c>
      <c r="T149" s="3">
        <v>21</v>
      </c>
      <c r="U149" s="3">
        <v>16.3</v>
      </c>
      <c r="V149" s="3">
        <f t="shared" si="17"/>
        <v>37913.800000000003</v>
      </c>
      <c r="W149" s="3">
        <v>3</v>
      </c>
      <c r="X149" s="3">
        <v>4</v>
      </c>
      <c r="Y149" s="3">
        <v>0</v>
      </c>
      <c r="Z149" s="3">
        <v>0</v>
      </c>
      <c r="AA149" s="3">
        <f t="shared" si="18"/>
        <v>-17.777777777777779</v>
      </c>
      <c r="AB149" s="3">
        <v>62</v>
      </c>
      <c r="AC149" s="3">
        <f t="shared" si="19"/>
        <v>16.666666666666668</v>
      </c>
    </row>
    <row r="150" spans="3:29" hidden="1">
      <c r="S150" s="3" t="s">
        <v>226</v>
      </c>
      <c r="T150" s="3">
        <v>16</v>
      </c>
      <c r="U150" s="3">
        <v>17</v>
      </c>
      <c r="V150" s="3">
        <f t="shared" si="17"/>
        <v>39542</v>
      </c>
      <c r="W150" s="3">
        <v>3</v>
      </c>
      <c r="X150" s="3">
        <v>3</v>
      </c>
      <c r="Y150" s="3">
        <v>0</v>
      </c>
      <c r="Z150" s="3">
        <v>64</v>
      </c>
      <c r="AA150" s="3">
        <f t="shared" si="18"/>
        <v>17.777777777777779</v>
      </c>
      <c r="AB150" s="3">
        <v>232</v>
      </c>
      <c r="AC150" s="3">
        <f t="shared" si="19"/>
        <v>111.11111111111111</v>
      </c>
    </row>
    <row r="151" spans="3:29" hidden="1">
      <c r="S151" s="3" t="s">
        <v>231</v>
      </c>
      <c r="T151" s="3">
        <v>24</v>
      </c>
      <c r="U151" s="3">
        <v>20.8</v>
      </c>
      <c r="V151" s="3">
        <f t="shared" si="17"/>
        <v>48380.800000000003</v>
      </c>
      <c r="W151" s="3">
        <v>1</v>
      </c>
      <c r="X151" s="3">
        <v>4</v>
      </c>
      <c r="Y151" s="3">
        <v>2</v>
      </c>
      <c r="AA151" s="3" t="str">
        <f t="shared" si="18"/>
        <v/>
      </c>
      <c r="AB151" s="3">
        <v>-155</v>
      </c>
      <c r="AC151" s="3">
        <f t="shared" si="19"/>
        <v>-103.88888888888889</v>
      </c>
    </row>
    <row r="152" spans="3:29" hidden="1">
      <c r="S152" s="3" t="s">
        <v>232</v>
      </c>
      <c r="T152" s="3">
        <v>14</v>
      </c>
      <c r="U152" s="3">
        <v>5.3</v>
      </c>
      <c r="V152" s="3">
        <f t="shared" si="17"/>
        <v>12327.8</v>
      </c>
      <c r="W152" s="3">
        <v>2</v>
      </c>
      <c r="X152" s="3">
        <v>1</v>
      </c>
      <c r="Y152" s="3">
        <v>1</v>
      </c>
      <c r="Z152" s="3">
        <v>290</v>
      </c>
      <c r="AA152" s="3">
        <f t="shared" si="18"/>
        <v>143.33333333333334</v>
      </c>
      <c r="AB152" s="3">
        <v>351</v>
      </c>
      <c r="AC152" s="3">
        <f t="shared" si="19"/>
        <v>177.22222222222223</v>
      </c>
    </row>
    <row r="153" spans="3:29" hidden="1">
      <c r="S153" s="3" t="s">
        <v>234</v>
      </c>
      <c r="T153" s="3">
        <v>16</v>
      </c>
      <c r="U153" s="3">
        <v>4.5999999999999996</v>
      </c>
      <c r="V153" s="3">
        <f t="shared" si="17"/>
        <v>10699.6</v>
      </c>
      <c r="W153" s="3">
        <v>2</v>
      </c>
      <c r="X153" s="3">
        <v>3</v>
      </c>
      <c r="Y153" s="3">
        <v>0</v>
      </c>
      <c r="Z153" s="3">
        <v>56</v>
      </c>
      <c r="AA153" s="3">
        <f t="shared" si="18"/>
        <v>13.333333333333334</v>
      </c>
      <c r="AB153" s="3">
        <v>181</v>
      </c>
      <c r="AC153" s="3">
        <f t="shared" si="19"/>
        <v>82.777777777777771</v>
      </c>
    </row>
    <row r="154" spans="3:29" hidden="1">
      <c r="S154" s="3" t="s">
        <v>235</v>
      </c>
      <c r="T154" s="3">
        <v>4</v>
      </c>
      <c r="U154" s="3">
        <v>7.3</v>
      </c>
      <c r="V154" s="3">
        <f t="shared" si="17"/>
        <v>16979.8</v>
      </c>
      <c r="W154" s="3">
        <v>1</v>
      </c>
      <c r="X154" s="3">
        <v>1</v>
      </c>
      <c r="Y154" s="3">
        <v>0</v>
      </c>
      <c r="Z154" s="3">
        <v>232</v>
      </c>
      <c r="AA154" s="3">
        <f t="shared" si="18"/>
        <v>111.11111111111111</v>
      </c>
      <c r="AB154" s="3">
        <v>387</v>
      </c>
      <c r="AC154" s="3">
        <f t="shared" si="19"/>
        <v>197.22222222222223</v>
      </c>
    </row>
    <row r="155" spans="3:29" hidden="1">
      <c r="S155" s="3" t="s">
        <v>236</v>
      </c>
      <c r="T155" s="3">
        <v>10</v>
      </c>
      <c r="U155" s="3">
        <v>11.6</v>
      </c>
      <c r="V155" s="3">
        <f t="shared" si="17"/>
        <v>26981.599999999999</v>
      </c>
      <c r="W155" s="3">
        <v>2</v>
      </c>
      <c r="X155" s="3">
        <v>2</v>
      </c>
      <c r="Y155" s="3">
        <v>0</v>
      </c>
      <c r="Z155" s="3">
        <v>29</v>
      </c>
      <c r="AA155" s="3">
        <f t="shared" si="18"/>
        <v>-1.6666666666666667</v>
      </c>
      <c r="AB155" s="3">
        <v>174</v>
      </c>
      <c r="AC155" s="3">
        <f t="shared" si="19"/>
        <v>78.888888888888886</v>
      </c>
    </row>
    <row r="156" spans="3:29" hidden="1">
      <c r="S156" s="3" t="s">
        <v>237</v>
      </c>
      <c r="T156" s="3">
        <v>4</v>
      </c>
      <c r="U156" s="3">
        <v>8</v>
      </c>
      <c r="V156" s="3">
        <f t="shared" si="17"/>
        <v>18608</v>
      </c>
      <c r="W156" s="3">
        <v>0</v>
      </c>
      <c r="X156" s="3">
        <v>1</v>
      </c>
      <c r="Y156" s="3">
        <v>0</v>
      </c>
      <c r="Z156" s="3">
        <v>215</v>
      </c>
      <c r="AA156" s="3">
        <f t="shared" si="18"/>
        <v>101.66666666666667</v>
      </c>
      <c r="AB156" s="3">
        <v>347</v>
      </c>
      <c r="AC156" s="3">
        <f t="shared" si="19"/>
        <v>175</v>
      </c>
    </row>
    <row r="157" spans="3:29" hidden="1">
      <c r="S157" s="3" t="s">
        <v>239</v>
      </c>
      <c r="T157" s="3">
        <v>29</v>
      </c>
      <c r="U157" s="3">
        <v>11.7</v>
      </c>
      <c r="V157" s="3">
        <f t="shared" si="17"/>
        <v>27214.199999999997</v>
      </c>
      <c r="W157" s="3">
        <v>3</v>
      </c>
      <c r="X157" s="3">
        <v>4</v>
      </c>
      <c r="Y157" s="3">
        <v>3</v>
      </c>
      <c r="Z157" s="3">
        <v>-4</v>
      </c>
      <c r="AA157" s="3">
        <f t="shared" si="18"/>
        <v>-20</v>
      </c>
      <c r="AB157" s="3">
        <v>51</v>
      </c>
      <c r="AC157" s="3">
        <f t="shared" si="19"/>
        <v>10.555555555555555</v>
      </c>
    </row>
    <row r="158" spans="3:29" hidden="1">
      <c r="S158" s="3" t="s">
        <v>233</v>
      </c>
      <c r="T158" s="3">
        <v>10</v>
      </c>
      <c r="U158" s="3">
        <v>12.4</v>
      </c>
      <c r="V158" s="3">
        <f t="shared" si="17"/>
        <v>28842.400000000001</v>
      </c>
      <c r="W158" s="3">
        <v>3</v>
      </c>
      <c r="X158" s="3">
        <v>2</v>
      </c>
      <c r="Y158" s="3">
        <v>0</v>
      </c>
      <c r="Z158" s="3">
        <v>110</v>
      </c>
      <c r="AA158" s="3">
        <f t="shared" si="18"/>
        <v>43.333333333333336</v>
      </c>
      <c r="AB158" s="3">
        <v>239</v>
      </c>
      <c r="AC158" s="3">
        <f t="shared" si="19"/>
        <v>115</v>
      </c>
    </row>
    <row r="159" spans="3:29" hidden="1">
      <c r="E159" s="3" t="s">
        <v>657</v>
      </c>
      <c r="S159" s="3" t="s">
        <v>238</v>
      </c>
      <c r="T159" s="3">
        <v>29</v>
      </c>
      <c r="U159" s="3">
        <v>13</v>
      </c>
      <c r="V159" s="3">
        <f t="shared" si="17"/>
        <v>30238</v>
      </c>
      <c r="W159" s="3">
        <v>4</v>
      </c>
      <c r="X159" s="3">
        <v>3</v>
      </c>
      <c r="Y159" s="3">
        <v>3</v>
      </c>
      <c r="Z159" s="3">
        <v>12</v>
      </c>
      <c r="AA159" s="3">
        <f t="shared" si="18"/>
        <v>-11.111111111111111</v>
      </c>
      <c r="AB159" s="3">
        <v>135</v>
      </c>
      <c r="AC159" s="3">
        <f t="shared" si="19"/>
        <v>57.222222222222221</v>
      </c>
    </row>
    <row r="160" spans="3:29" hidden="1">
      <c r="C160" s="3" t="s">
        <v>80</v>
      </c>
      <c r="D160" s="3">
        <v>1</v>
      </c>
      <c r="E160" s="3">
        <v>2</v>
      </c>
      <c r="F160" s="3">
        <v>3</v>
      </c>
      <c r="G160" s="3">
        <v>4</v>
      </c>
      <c r="H160" s="3">
        <v>5</v>
      </c>
      <c r="I160" s="34">
        <v>6</v>
      </c>
      <c r="J160" s="3">
        <v>7</v>
      </c>
      <c r="K160" s="3">
        <v>8</v>
      </c>
      <c r="S160" s="3" t="s">
        <v>242</v>
      </c>
      <c r="T160" s="3">
        <v>14</v>
      </c>
      <c r="U160" s="3">
        <v>16.2</v>
      </c>
      <c r="V160" s="3">
        <f t="shared" si="17"/>
        <v>37681.199999999997</v>
      </c>
      <c r="W160" s="3">
        <v>2</v>
      </c>
      <c r="X160" s="3">
        <v>2</v>
      </c>
      <c r="Y160" s="3">
        <v>1</v>
      </c>
      <c r="Z160" s="3">
        <v>112</v>
      </c>
      <c r="AA160" s="3">
        <f t="shared" si="18"/>
        <v>44.444444444444443</v>
      </c>
      <c r="AB160" s="3">
        <v>325</v>
      </c>
      <c r="AC160" s="3">
        <f t="shared" si="19"/>
        <v>162.77777777777777</v>
      </c>
    </row>
    <row r="161" spans="3:29" hidden="1">
      <c r="C161" s="3">
        <v>1</v>
      </c>
      <c r="D161" s="3">
        <v>8.9999999999999993E-3</v>
      </c>
      <c r="E161" s="3">
        <v>2.7E-2</v>
      </c>
      <c r="F161" s="3">
        <v>3.5999999999999997E-2</v>
      </c>
      <c r="G161" s="3">
        <v>5.8000000000000003E-2</v>
      </c>
      <c r="H161" s="3">
        <v>8.1000000000000003E-2</v>
      </c>
      <c r="I161" s="34">
        <v>0.1</v>
      </c>
      <c r="J161" s="3">
        <v>0.11700000000000001</v>
      </c>
      <c r="K161" s="3">
        <v>0.13500000000000001</v>
      </c>
      <c r="S161" s="3" t="s">
        <v>243</v>
      </c>
      <c r="T161" s="3">
        <v>16</v>
      </c>
      <c r="U161" s="3">
        <v>4.5</v>
      </c>
      <c r="V161" s="3">
        <f t="shared" si="17"/>
        <v>10467</v>
      </c>
      <c r="W161" s="3">
        <v>2</v>
      </c>
      <c r="X161" s="3">
        <v>3</v>
      </c>
      <c r="Y161" s="3">
        <v>0</v>
      </c>
      <c r="Z161" s="3">
        <v>2</v>
      </c>
      <c r="AA161" s="3">
        <f t="shared" si="18"/>
        <v>-16.666666666666668</v>
      </c>
      <c r="AB161" s="3">
        <v>135</v>
      </c>
      <c r="AC161" s="3">
        <f t="shared" si="19"/>
        <v>57.222222222222221</v>
      </c>
    </row>
    <row r="162" spans="3:29" hidden="1">
      <c r="C162" s="3">
        <v>4</v>
      </c>
      <c r="D162" s="3">
        <v>3.5999999999999997E-2</v>
      </c>
      <c r="E162" s="3">
        <v>5.8000000000000003E-2</v>
      </c>
      <c r="F162" s="3">
        <v>8.1000000000000003E-2</v>
      </c>
      <c r="G162" s="3">
        <v>0.09</v>
      </c>
      <c r="H162" s="3">
        <v>0.108</v>
      </c>
      <c r="I162" s="34">
        <v>0.13</v>
      </c>
      <c r="J162" s="3">
        <v>0.157</v>
      </c>
      <c r="K162" s="3">
        <v>0.18</v>
      </c>
      <c r="S162" s="3" t="s">
        <v>248</v>
      </c>
      <c r="T162" s="3">
        <v>40</v>
      </c>
      <c r="U162" s="3">
        <v>0</v>
      </c>
      <c r="V162" s="3">
        <f t="shared" si="17"/>
        <v>0</v>
      </c>
      <c r="W162" s="3">
        <v>4</v>
      </c>
      <c r="X162" s="3">
        <v>0</v>
      </c>
      <c r="Y162" s="3">
        <v>4</v>
      </c>
      <c r="AA162" s="3" t="str">
        <f t="shared" si="18"/>
        <v/>
      </c>
      <c r="AB162" s="3">
        <v>-307</v>
      </c>
      <c r="AC162" s="3">
        <f t="shared" si="19"/>
        <v>-188.33333333333334</v>
      </c>
    </row>
    <row r="163" spans="3:29" hidden="1">
      <c r="C163" s="3">
        <v>10</v>
      </c>
      <c r="I163" s="34"/>
      <c r="S163" s="3" t="s">
        <v>249</v>
      </c>
      <c r="T163" s="3">
        <v>16</v>
      </c>
      <c r="U163" s="3">
        <v>13.4</v>
      </c>
      <c r="V163" s="3">
        <f t="shared" si="17"/>
        <v>31168.400000000001</v>
      </c>
      <c r="W163" s="3">
        <v>3</v>
      </c>
      <c r="X163" s="3">
        <v>3</v>
      </c>
      <c r="Y163" s="3">
        <v>0</v>
      </c>
      <c r="Z163" s="3">
        <v>5</v>
      </c>
      <c r="AA163" s="3">
        <f t="shared" si="18"/>
        <v>-15</v>
      </c>
      <c r="AB163" s="3">
        <v>185</v>
      </c>
      <c r="AC163" s="3">
        <f t="shared" si="19"/>
        <v>85</v>
      </c>
    </row>
    <row r="164" spans="3:29" hidden="1">
      <c r="C164" s="3">
        <v>14</v>
      </c>
      <c r="I164" s="34"/>
      <c r="S164" s="3" t="s">
        <v>250</v>
      </c>
      <c r="T164" s="3">
        <v>21</v>
      </c>
      <c r="U164" s="3">
        <v>8</v>
      </c>
      <c r="V164" s="3">
        <f t="shared" si="17"/>
        <v>18608</v>
      </c>
      <c r="W164" s="3">
        <v>3</v>
      </c>
      <c r="X164" s="3">
        <v>4</v>
      </c>
      <c r="Y164" s="3">
        <v>0</v>
      </c>
      <c r="AA164" s="3" t="str">
        <f t="shared" si="18"/>
        <v/>
      </c>
      <c r="AB164" s="3">
        <v>-6</v>
      </c>
      <c r="AC164" s="3">
        <f t="shared" si="19"/>
        <v>-21.111111111111111</v>
      </c>
    </row>
    <row r="165" spans="3:29" hidden="1">
      <c r="C165" s="3">
        <v>16</v>
      </c>
      <c r="I165" s="34"/>
      <c r="S165" s="3" t="s">
        <v>251</v>
      </c>
      <c r="T165" s="3">
        <v>10</v>
      </c>
      <c r="U165" s="3">
        <v>0</v>
      </c>
      <c r="V165" s="3">
        <f t="shared" si="17"/>
        <v>0</v>
      </c>
      <c r="W165" s="3">
        <v>3</v>
      </c>
      <c r="X165" s="3">
        <v>2</v>
      </c>
      <c r="Y165" s="3">
        <v>0</v>
      </c>
      <c r="Z165" s="3">
        <v>140</v>
      </c>
      <c r="AA165" s="3">
        <f t="shared" si="18"/>
        <v>60</v>
      </c>
      <c r="AB165" s="3">
        <v>206</v>
      </c>
      <c r="AC165" s="3">
        <f t="shared" si="19"/>
        <v>96.666666666666671</v>
      </c>
    </row>
    <row r="166" spans="3:29" hidden="1">
      <c r="C166" s="3">
        <v>21</v>
      </c>
      <c r="I166" s="34"/>
      <c r="S166" s="3" t="s">
        <v>252</v>
      </c>
      <c r="T166" s="3">
        <v>10</v>
      </c>
      <c r="U166" s="3">
        <v>3</v>
      </c>
      <c r="V166" s="3">
        <f t="shared" si="17"/>
        <v>6978</v>
      </c>
      <c r="W166" s="3">
        <v>3</v>
      </c>
      <c r="X166" s="3">
        <v>2</v>
      </c>
      <c r="Y166" s="3">
        <v>0</v>
      </c>
      <c r="Z166" s="3">
        <v>122</v>
      </c>
      <c r="AA166" s="3">
        <f t="shared" si="18"/>
        <v>50</v>
      </c>
      <c r="AB166" s="3">
        <v>213</v>
      </c>
      <c r="AC166" s="3">
        <f t="shared" si="19"/>
        <v>100.55555555555556</v>
      </c>
    </row>
    <row r="167" spans="3:29" hidden="1">
      <c r="C167" s="3">
        <v>24</v>
      </c>
      <c r="I167" s="34"/>
      <c r="S167" s="3" t="s">
        <v>253</v>
      </c>
      <c r="T167" s="3">
        <v>10</v>
      </c>
      <c r="U167" s="3">
        <v>18.7</v>
      </c>
      <c r="V167" s="3">
        <f t="shared" si="17"/>
        <v>43496.200000000004</v>
      </c>
      <c r="W167" s="3">
        <v>0</v>
      </c>
      <c r="X167" s="3">
        <v>2</v>
      </c>
      <c r="Y167" s="3">
        <v>0</v>
      </c>
      <c r="Z167" s="3">
        <v>100</v>
      </c>
      <c r="AA167" s="3">
        <f t="shared" si="18"/>
        <v>37.777777777777779</v>
      </c>
      <c r="AB167" s="3">
        <v>304</v>
      </c>
      <c r="AC167" s="3">
        <f t="shared" si="19"/>
        <v>151.11111111111111</v>
      </c>
    </row>
    <row r="168" spans="3:29" hidden="1">
      <c r="C168" s="3">
        <v>29</v>
      </c>
      <c r="I168" s="34"/>
      <c r="S168" s="3" t="s">
        <v>254</v>
      </c>
      <c r="T168" s="3">
        <v>10</v>
      </c>
      <c r="U168" s="3">
        <v>18.7</v>
      </c>
      <c r="V168" s="3">
        <f t="shared" si="17"/>
        <v>43496.200000000004</v>
      </c>
      <c r="W168" s="3">
        <v>0</v>
      </c>
      <c r="X168" s="3">
        <v>2</v>
      </c>
      <c r="Y168" s="3">
        <v>0</v>
      </c>
      <c r="Z168" s="3">
        <v>126</v>
      </c>
      <c r="AA168" s="3">
        <f t="shared" si="18"/>
        <v>52.222222222222221</v>
      </c>
      <c r="AC168" s="3" t="str">
        <f t="shared" si="19"/>
        <v/>
      </c>
    </row>
    <row r="169" spans="3:29" hidden="1">
      <c r="C169" s="3">
        <v>40</v>
      </c>
      <c r="I169" s="34"/>
      <c r="S169" s="3" t="s">
        <v>255</v>
      </c>
      <c r="T169" s="3">
        <v>10</v>
      </c>
      <c r="U169" s="3">
        <v>18.7</v>
      </c>
      <c r="V169" s="3">
        <f t="shared" si="17"/>
        <v>43496.200000000004</v>
      </c>
      <c r="W169" s="3">
        <v>0</v>
      </c>
      <c r="X169" s="3">
        <v>2</v>
      </c>
      <c r="Y169" s="3">
        <v>0</v>
      </c>
      <c r="Z169" s="3">
        <v>142</v>
      </c>
      <c r="AA169" s="3">
        <f t="shared" si="18"/>
        <v>61.111111111111114</v>
      </c>
      <c r="AC169" s="3" t="str">
        <f t="shared" si="19"/>
        <v/>
      </c>
    </row>
    <row r="170" spans="3:29" hidden="1">
      <c r="I170" s="34"/>
      <c r="S170" s="3" t="s">
        <v>256</v>
      </c>
      <c r="T170" s="3">
        <v>10</v>
      </c>
      <c r="U170" s="3">
        <v>18.7</v>
      </c>
      <c r="V170" s="3">
        <f t="shared" si="17"/>
        <v>43496.200000000004</v>
      </c>
      <c r="W170" s="3">
        <v>0</v>
      </c>
      <c r="X170" s="3">
        <v>2</v>
      </c>
      <c r="Y170" s="3">
        <v>0</v>
      </c>
      <c r="Z170" s="3">
        <v>150</v>
      </c>
      <c r="AA170" s="3">
        <f t="shared" si="18"/>
        <v>65.555555555555557</v>
      </c>
      <c r="AC170" s="3" t="str">
        <f t="shared" si="19"/>
        <v/>
      </c>
    </row>
    <row r="171" spans="3:29" hidden="1">
      <c r="I171" s="34"/>
      <c r="S171" s="3" t="s">
        <v>257</v>
      </c>
      <c r="T171" s="3">
        <v>21</v>
      </c>
      <c r="U171" s="3">
        <v>12.6</v>
      </c>
      <c r="V171" s="3">
        <f t="shared" si="17"/>
        <v>29307.600000000002</v>
      </c>
      <c r="W171" s="3">
        <v>1</v>
      </c>
      <c r="X171" s="3">
        <v>4</v>
      </c>
      <c r="Y171" s="3">
        <v>1</v>
      </c>
      <c r="Z171" s="3">
        <v>32</v>
      </c>
      <c r="AA171" s="3">
        <f t="shared" si="18"/>
        <v>0</v>
      </c>
      <c r="AB171" s="3">
        <v>88</v>
      </c>
      <c r="AC171" s="3">
        <f t="shared" si="19"/>
        <v>31.111111111111111</v>
      </c>
    </row>
    <row r="172" spans="3:29" hidden="1">
      <c r="S172" s="3" t="s">
        <v>258</v>
      </c>
      <c r="T172" s="3">
        <v>16</v>
      </c>
      <c r="U172" s="3">
        <v>18.8</v>
      </c>
      <c r="V172" s="3">
        <f t="shared" si="17"/>
        <v>43728.800000000003</v>
      </c>
      <c r="W172" s="3">
        <v>1</v>
      </c>
      <c r="X172" s="3">
        <v>3</v>
      </c>
      <c r="Y172" s="3">
        <v>0</v>
      </c>
      <c r="Z172" s="3">
        <v>-45</v>
      </c>
      <c r="AA172" s="3">
        <f t="shared" si="18"/>
        <v>-42.777777777777779</v>
      </c>
      <c r="AB172" s="3">
        <v>100</v>
      </c>
      <c r="AC172" s="3">
        <f t="shared" si="19"/>
        <v>37.777777777777779</v>
      </c>
    </row>
    <row r="173" spans="3:29" hidden="1">
      <c r="S173" s="3" t="s">
        <v>259</v>
      </c>
      <c r="T173" s="3">
        <v>4</v>
      </c>
      <c r="U173" s="3">
        <v>6.9</v>
      </c>
      <c r="V173" s="3">
        <f t="shared" si="17"/>
        <v>16049.400000000001</v>
      </c>
      <c r="W173" s="3">
        <v>1</v>
      </c>
      <c r="X173" s="3">
        <v>1</v>
      </c>
      <c r="Y173" s="3">
        <v>0</v>
      </c>
      <c r="Z173" s="3">
        <v>390</v>
      </c>
      <c r="AA173" s="3">
        <f t="shared" si="18"/>
        <v>198.88888888888889</v>
      </c>
      <c r="AB173" s="3">
        <v>340</v>
      </c>
      <c r="AC173" s="3">
        <f t="shared" si="19"/>
        <v>171.11111111111111</v>
      </c>
    </row>
    <row r="174" spans="3:29" hidden="1">
      <c r="S174" s="3" t="s">
        <v>260</v>
      </c>
      <c r="T174" s="3">
        <v>14</v>
      </c>
      <c r="U174" s="3">
        <v>7.6</v>
      </c>
      <c r="V174" s="3">
        <f t="shared" si="17"/>
        <v>17677.599999999999</v>
      </c>
      <c r="W174" s="3">
        <v>1</v>
      </c>
      <c r="X174" s="3">
        <v>1</v>
      </c>
      <c r="Y174" s="3">
        <v>1</v>
      </c>
      <c r="AA174" s="3" t="str">
        <f t="shared" si="18"/>
        <v/>
      </c>
      <c r="AC174" s="3" t="str">
        <f t="shared" si="19"/>
        <v/>
      </c>
    </row>
    <row r="175" spans="3:29" hidden="1">
      <c r="S175" s="3" t="s">
        <v>261</v>
      </c>
      <c r="T175" s="3">
        <v>16</v>
      </c>
      <c r="U175" s="3">
        <v>19.2</v>
      </c>
      <c r="V175" s="3">
        <f t="shared" si="17"/>
        <v>44659.199999999997</v>
      </c>
      <c r="W175" s="3">
        <v>1</v>
      </c>
      <c r="X175" s="3">
        <v>3</v>
      </c>
      <c r="Y175" s="3">
        <v>0</v>
      </c>
      <c r="Z175" s="3">
        <v>25</v>
      </c>
      <c r="AA175" s="3">
        <f t="shared" si="18"/>
        <v>-3.8888888888888888</v>
      </c>
      <c r="AB175" s="3">
        <v>209</v>
      </c>
      <c r="AC175" s="3">
        <f t="shared" si="19"/>
        <v>98.333333333333329</v>
      </c>
    </row>
    <row r="176" spans="3:29">
      <c r="S176" s="3" t="s">
        <v>263</v>
      </c>
      <c r="T176" s="3">
        <v>14</v>
      </c>
      <c r="U176" s="3">
        <v>5.5</v>
      </c>
      <c r="V176" s="3">
        <f t="shared" si="17"/>
        <v>12793.000000000002</v>
      </c>
      <c r="W176" s="3">
        <v>2</v>
      </c>
      <c r="X176" s="3">
        <v>1</v>
      </c>
      <c r="Y176" s="3">
        <v>1</v>
      </c>
      <c r="AA176" s="3" t="str">
        <f t="shared" si="18"/>
        <v/>
      </c>
      <c r="AC176" s="3" t="str">
        <f t="shared" si="19"/>
        <v/>
      </c>
    </row>
    <row r="177" spans="19:29">
      <c r="S177" s="3" t="s">
        <v>262</v>
      </c>
      <c r="T177" s="3">
        <v>14</v>
      </c>
      <c r="U177" s="3">
        <v>2</v>
      </c>
      <c r="V177" s="3">
        <f t="shared" si="17"/>
        <v>4652</v>
      </c>
      <c r="W177" s="3">
        <v>2</v>
      </c>
      <c r="X177" s="3">
        <v>1</v>
      </c>
      <c r="Y177" s="3">
        <v>1</v>
      </c>
      <c r="AA177" s="3" t="str">
        <f t="shared" si="18"/>
        <v/>
      </c>
      <c r="AC177" s="3" t="str">
        <f t="shared" si="19"/>
        <v/>
      </c>
    </row>
    <row r="178" spans="19:29">
      <c r="S178" s="3" t="s">
        <v>264</v>
      </c>
      <c r="T178" s="3">
        <v>16</v>
      </c>
      <c r="U178" s="3">
        <v>15.5</v>
      </c>
      <c r="V178" s="3">
        <f t="shared" si="17"/>
        <v>36053.000000000007</v>
      </c>
      <c r="W178" s="3">
        <v>2</v>
      </c>
      <c r="X178" s="3">
        <v>3</v>
      </c>
      <c r="Y178" s="3">
        <v>1</v>
      </c>
      <c r="Z178" s="3">
        <v>90</v>
      </c>
      <c r="AA178" s="3">
        <f t="shared" si="18"/>
        <v>32.222222222222221</v>
      </c>
      <c r="AB178" s="3">
        <v>268</v>
      </c>
      <c r="AC178" s="3">
        <f t="shared" si="19"/>
        <v>131.11111111111111</v>
      </c>
    </row>
    <row r="179" spans="19:29">
      <c r="S179" s="3" t="s">
        <v>265</v>
      </c>
      <c r="T179" s="3">
        <v>16</v>
      </c>
      <c r="U179" s="3">
        <v>19.2</v>
      </c>
      <c r="V179" s="3">
        <f t="shared" si="17"/>
        <v>44659.199999999997</v>
      </c>
      <c r="W179" s="3">
        <v>1</v>
      </c>
      <c r="X179" s="3">
        <v>3</v>
      </c>
      <c r="Y179" s="3">
        <v>0</v>
      </c>
      <c r="Z179" s="3">
        <v>-7</v>
      </c>
      <c r="AA179" s="3">
        <f t="shared" si="18"/>
        <v>-21.666666666666668</v>
      </c>
      <c r="AB179" s="3">
        <v>156</v>
      </c>
      <c r="AC179" s="3">
        <f t="shared" si="19"/>
        <v>68.888888888888886</v>
      </c>
    </row>
    <row r="180" spans="19:29">
      <c r="S180" s="3" t="s">
        <v>266</v>
      </c>
      <c r="T180" s="3">
        <v>29</v>
      </c>
      <c r="U180" s="3">
        <v>7.7</v>
      </c>
      <c r="V180" s="3">
        <f t="shared" si="17"/>
        <v>17910.2</v>
      </c>
      <c r="W180" s="3">
        <v>3</v>
      </c>
      <c r="X180" s="3">
        <v>3</v>
      </c>
      <c r="Y180" s="3">
        <v>3</v>
      </c>
      <c r="Z180" s="3">
        <v>100</v>
      </c>
      <c r="AA180" s="3">
        <f t="shared" si="18"/>
        <v>37.777777777777779</v>
      </c>
      <c r="AB180" s="3">
        <v>236</v>
      </c>
      <c r="AC180" s="3">
        <f t="shared" si="19"/>
        <v>113.33333333333333</v>
      </c>
    </row>
    <row r="181" spans="19:29">
      <c r="S181" s="3" t="s">
        <v>267</v>
      </c>
      <c r="T181" s="3">
        <v>21</v>
      </c>
      <c r="U181" s="3">
        <v>51.6</v>
      </c>
      <c r="V181" s="3">
        <f t="shared" si="17"/>
        <v>120021.6</v>
      </c>
      <c r="W181" s="3">
        <v>0</v>
      </c>
      <c r="X181" s="3">
        <v>4</v>
      </c>
      <c r="Y181" s="3">
        <v>0</v>
      </c>
      <c r="AA181" s="3" t="str">
        <f t="shared" si="18"/>
        <v/>
      </c>
      <c r="AB181" s="3">
        <v>-423</v>
      </c>
      <c r="AC181" s="3">
        <f t="shared" si="19"/>
        <v>-252.77777777777777</v>
      </c>
    </row>
    <row r="182" spans="19:29">
      <c r="S182" s="3" t="s">
        <v>268</v>
      </c>
      <c r="T182" s="3">
        <v>24</v>
      </c>
      <c r="U182" s="3">
        <v>10.3</v>
      </c>
      <c r="V182" s="3">
        <f t="shared" si="17"/>
        <v>23957.800000000003</v>
      </c>
      <c r="W182" s="3">
        <v>4</v>
      </c>
      <c r="X182" s="3">
        <v>4</v>
      </c>
      <c r="Y182" s="3">
        <v>2</v>
      </c>
      <c r="Z182" s="3">
        <v>0</v>
      </c>
      <c r="AA182" s="3">
        <f t="shared" si="18"/>
        <v>-17.777777777777779</v>
      </c>
      <c r="AB182" s="3">
        <v>79</v>
      </c>
      <c r="AC182" s="3">
        <f t="shared" si="19"/>
        <v>26.111111111111111</v>
      </c>
    </row>
    <row r="183" spans="19:29">
      <c r="S183" s="3" t="s">
        <v>269</v>
      </c>
      <c r="T183" s="3">
        <v>14</v>
      </c>
      <c r="V183" s="3" t="str">
        <f t="shared" si="17"/>
        <v/>
      </c>
      <c r="W183" s="3">
        <v>2</v>
      </c>
      <c r="X183" s="3">
        <v>0</v>
      </c>
      <c r="Y183" s="3">
        <v>1</v>
      </c>
      <c r="AA183" s="3" t="str">
        <f t="shared" si="18"/>
        <v/>
      </c>
      <c r="AB183" s="3">
        <v>226</v>
      </c>
      <c r="AC183" s="3">
        <f t="shared" si="19"/>
        <v>107.77777777777777</v>
      </c>
    </row>
    <row r="184" spans="19:29">
      <c r="S184" s="3" t="s">
        <v>270</v>
      </c>
      <c r="T184" s="3">
        <v>21</v>
      </c>
      <c r="U184" s="3">
        <v>6.5</v>
      </c>
      <c r="V184" s="3">
        <f t="shared" si="17"/>
        <v>15119</v>
      </c>
      <c r="W184" s="3">
        <v>4</v>
      </c>
      <c r="X184" s="3">
        <v>4</v>
      </c>
      <c r="Y184" s="3">
        <v>0</v>
      </c>
      <c r="AA184" s="3" t="str">
        <f t="shared" si="18"/>
        <v/>
      </c>
      <c r="AB184" s="3">
        <v>-76</v>
      </c>
      <c r="AC184" s="3">
        <f t="shared" si="19"/>
        <v>-60</v>
      </c>
    </row>
    <row r="185" spans="19:29">
      <c r="S185" s="3" t="s">
        <v>272</v>
      </c>
      <c r="T185" s="3">
        <v>24</v>
      </c>
      <c r="U185" s="3">
        <v>8.9</v>
      </c>
      <c r="V185" s="3">
        <f t="shared" si="17"/>
        <v>20701.400000000001</v>
      </c>
      <c r="W185" s="3">
        <v>2</v>
      </c>
      <c r="X185" s="3">
        <v>1</v>
      </c>
      <c r="Y185" s="3">
        <v>2</v>
      </c>
      <c r="Z185" s="3">
        <v>214</v>
      </c>
      <c r="AA185" s="3">
        <f t="shared" si="18"/>
        <v>101.11111111111111</v>
      </c>
      <c r="AB185" s="3">
        <v>410</v>
      </c>
      <c r="AC185" s="3">
        <f t="shared" si="19"/>
        <v>210</v>
      </c>
    </row>
    <row r="186" spans="19:29">
      <c r="S186" s="3" t="s">
        <v>271</v>
      </c>
      <c r="T186" s="3">
        <v>29</v>
      </c>
      <c r="U186" s="3">
        <v>3.2</v>
      </c>
      <c r="V186" s="3">
        <f t="shared" si="17"/>
        <v>7443.2000000000007</v>
      </c>
      <c r="W186" s="3">
        <v>2</v>
      </c>
      <c r="X186" s="3">
        <v>0</v>
      </c>
      <c r="Y186" s="3">
        <v>3</v>
      </c>
      <c r="AA186" s="3" t="str">
        <f t="shared" si="18"/>
        <v/>
      </c>
      <c r="AB186" s="3">
        <v>158</v>
      </c>
      <c r="AC186" s="3">
        <f t="shared" si="19"/>
        <v>70</v>
      </c>
    </row>
    <row r="187" spans="19:29">
      <c r="S187" s="3" t="s">
        <v>273</v>
      </c>
      <c r="T187" s="3">
        <v>24</v>
      </c>
      <c r="U187" s="3">
        <v>10.4</v>
      </c>
      <c r="V187" s="3">
        <f t="shared" si="17"/>
        <v>24190.400000000001</v>
      </c>
      <c r="W187" s="3">
        <v>3</v>
      </c>
      <c r="X187" s="3">
        <v>1</v>
      </c>
      <c r="Y187" s="3">
        <v>2</v>
      </c>
      <c r="Z187" s="3">
        <v>207</v>
      </c>
      <c r="AA187" s="3">
        <f t="shared" si="18"/>
        <v>97.222222222222229</v>
      </c>
      <c r="AB187" s="3">
        <v>410</v>
      </c>
      <c r="AC187" s="3">
        <f t="shared" si="19"/>
        <v>210</v>
      </c>
    </row>
    <row r="188" spans="19:29">
      <c r="S188" s="3" t="s">
        <v>274</v>
      </c>
      <c r="T188" s="3">
        <v>21</v>
      </c>
      <c r="U188" s="3">
        <v>19.399999999999999</v>
      </c>
      <c r="V188" s="3">
        <f t="shared" si="17"/>
        <v>45124.4</v>
      </c>
      <c r="W188" s="3">
        <v>1</v>
      </c>
      <c r="X188" s="3">
        <v>4</v>
      </c>
      <c r="Y188" s="3">
        <v>0</v>
      </c>
      <c r="AA188" s="3" t="str">
        <f t="shared" si="18"/>
        <v/>
      </c>
      <c r="AB188" s="3">
        <v>11</v>
      </c>
      <c r="AC188" s="3">
        <f t="shared" si="19"/>
        <v>-11.666666666666666</v>
      </c>
    </row>
    <row r="189" spans="19:29">
      <c r="S189" s="3" t="s">
        <v>275</v>
      </c>
      <c r="T189" s="3">
        <v>16</v>
      </c>
      <c r="U189" s="3">
        <v>14.2</v>
      </c>
      <c r="V189" s="3">
        <f t="shared" si="17"/>
        <v>33029.199999999997</v>
      </c>
      <c r="W189" s="3">
        <v>1</v>
      </c>
      <c r="X189" s="3">
        <v>3</v>
      </c>
      <c r="Y189" s="3">
        <v>0</v>
      </c>
      <c r="Z189" s="3">
        <v>82</v>
      </c>
      <c r="AA189" s="3">
        <f t="shared" si="18"/>
        <v>27.777777777777779</v>
      </c>
      <c r="AB189" s="3">
        <v>225</v>
      </c>
      <c r="AC189" s="3">
        <f t="shared" si="19"/>
        <v>107.22222222222223</v>
      </c>
    </row>
    <row r="190" spans="19:29">
      <c r="S190" s="3" t="s">
        <v>276</v>
      </c>
      <c r="T190" s="3">
        <v>16</v>
      </c>
      <c r="U190" s="3">
        <v>16.2</v>
      </c>
      <c r="V190" s="3">
        <f t="shared" si="17"/>
        <v>37681.199999999997</v>
      </c>
      <c r="W190" s="3">
        <v>2</v>
      </c>
      <c r="X190" s="3">
        <v>3</v>
      </c>
      <c r="Y190" s="3">
        <v>0</v>
      </c>
      <c r="Z190" s="3">
        <v>15</v>
      </c>
      <c r="AA190" s="3">
        <f t="shared" si="18"/>
        <v>-9.4444444444444446</v>
      </c>
      <c r="AB190" s="3">
        <v>150</v>
      </c>
      <c r="AC190" s="3">
        <f t="shared" si="19"/>
        <v>65.555555555555557</v>
      </c>
    </row>
    <row r="191" spans="19:29">
      <c r="S191" s="3" t="s">
        <v>277</v>
      </c>
      <c r="T191" s="3">
        <v>16</v>
      </c>
      <c r="U191" s="3">
        <v>11.4</v>
      </c>
      <c r="V191" s="3">
        <f t="shared" si="17"/>
        <v>26516.400000000001</v>
      </c>
      <c r="W191" s="3">
        <v>2</v>
      </c>
      <c r="X191" s="3">
        <v>3</v>
      </c>
      <c r="Y191" s="3">
        <v>0</v>
      </c>
      <c r="Z191" s="3">
        <v>70</v>
      </c>
      <c r="AA191" s="3">
        <f t="shared" si="18"/>
        <v>21.111111111111111</v>
      </c>
      <c r="AB191" s="3">
        <v>156</v>
      </c>
      <c r="AC191" s="3">
        <f t="shared" si="19"/>
        <v>68.888888888888886</v>
      </c>
    </row>
    <row r="192" spans="19:29">
      <c r="S192" s="3" t="s">
        <v>278</v>
      </c>
      <c r="T192" s="3">
        <v>21</v>
      </c>
      <c r="U192" s="3">
        <v>21</v>
      </c>
      <c r="V192" s="3">
        <f t="shared" si="17"/>
        <v>48846</v>
      </c>
      <c r="W192" s="3">
        <v>1</v>
      </c>
      <c r="X192" s="3">
        <v>4</v>
      </c>
      <c r="Y192" s="3">
        <v>0</v>
      </c>
      <c r="Z192" s="3">
        <v>-60</v>
      </c>
      <c r="AA192" s="3">
        <f t="shared" si="18"/>
        <v>-51.111111111111114</v>
      </c>
      <c r="AB192" s="3">
        <v>82</v>
      </c>
      <c r="AC192" s="3">
        <f t="shared" si="19"/>
        <v>27.777777777777779</v>
      </c>
    </row>
    <row r="193" spans="19:29">
      <c r="S193" s="3" t="s">
        <v>279</v>
      </c>
      <c r="T193" s="3">
        <v>24</v>
      </c>
      <c r="U193" s="3">
        <v>18.899999999999999</v>
      </c>
      <c r="V193" s="3">
        <f t="shared" si="17"/>
        <v>43961.399999999994</v>
      </c>
      <c r="W193" s="3">
        <v>2</v>
      </c>
      <c r="X193" s="3">
        <v>4</v>
      </c>
      <c r="Y193" s="3">
        <v>2</v>
      </c>
      <c r="Z193" s="3">
        <v>-65</v>
      </c>
      <c r="AA193" s="3">
        <f t="shared" si="18"/>
        <v>-53.888888888888886</v>
      </c>
      <c r="AB193" s="3">
        <v>93</v>
      </c>
      <c r="AC193" s="3">
        <f t="shared" si="19"/>
        <v>33.888888888888886</v>
      </c>
    </row>
    <row r="194" spans="19:29">
      <c r="S194" s="3" t="s">
        <v>280</v>
      </c>
      <c r="T194" s="3">
        <v>16</v>
      </c>
      <c r="U194" s="3">
        <v>13.1</v>
      </c>
      <c r="V194" s="3">
        <f t="shared" ref="V194:V257" si="20">IF(U194="","",2.326*U194*1000)</f>
        <v>30470.600000000002</v>
      </c>
      <c r="W194" s="3">
        <v>1</v>
      </c>
      <c r="X194" s="3">
        <v>3</v>
      </c>
      <c r="Y194" s="3">
        <v>0</v>
      </c>
      <c r="Z194" s="3">
        <v>53</v>
      </c>
      <c r="AA194" s="3">
        <f t="shared" ref="AA194:AA257" si="21">IF(Z194="","",5*(Z194-32)/9)</f>
        <v>11.666666666666666</v>
      </c>
      <c r="AB194" s="3">
        <v>181</v>
      </c>
      <c r="AC194" s="3">
        <f t="shared" ref="AC194:AC257" si="22">IF(AB194="","",5*(AB194-32)/9)</f>
        <v>82.777777777777771</v>
      </c>
    </row>
    <row r="195" spans="19:29">
      <c r="S195" s="3" t="s">
        <v>281</v>
      </c>
      <c r="T195" s="3">
        <v>24</v>
      </c>
      <c r="U195" s="3">
        <v>0</v>
      </c>
      <c r="V195" s="3">
        <f t="shared" si="20"/>
        <v>0</v>
      </c>
      <c r="W195" s="3">
        <v>2</v>
      </c>
      <c r="X195" s="3">
        <v>4</v>
      </c>
      <c r="Y195" s="3">
        <v>2</v>
      </c>
      <c r="Z195" s="3">
        <v>19</v>
      </c>
      <c r="AA195" s="3">
        <f t="shared" si="21"/>
        <v>-7.2222222222222223</v>
      </c>
      <c r="AB195" s="3">
        <v>92</v>
      </c>
      <c r="AC195" s="3">
        <f t="shared" si="22"/>
        <v>33.333333333333336</v>
      </c>
    </row>
    <row r="196" spans="19:29">
      <c r="S196" s="3" t="s">
        <v>282</v>
      </c>
      <c r="T196" s="3">
        <v>16</v>
      </c>
      <c r="U196" s="3">
        <v>11.2</v>
      </c>
      <c r="V196" s="3">
        <f t="shared" si="20"/>
        <v>26051.199999999997</v>
      </c>
      <c r="W196" s="3">
        <v>1</v>
      </c>
      <c r="X196" s="3">
        <v>3</v>
      </c>
      <c r="Y196" s="3">
        <v>0</v>
      </c>
      <c r="Z196" s="3">
        <v>34</v>
      </c>
      <c r="AA196" s="3">
        <f t="shared" si="21"/>
        <v>1.1111111111111112</v>
      </c>
      <c r="AB196" s="3">
        <v>194</v>
      </c>
      <c r="AC196" s="3">
        <f t="shared" si="22"/>
        <v>90</v>
      </c>
    </row>
    <row r="197" spans="19:29">
      <c r="S197" s="3" t="s">
        <v>284</v>
      </c>
      <c r="T197" s="3">
        <v>21</v>
      </c>
      <c r="U197" s="3">
        <v>10</v>
      </c>
      <c r="V197" s="3">
        <f t="shared" si="20"/>
        <v>23260</v>
      </c>
      <c r="W197" s="3">
        <v>2</v>
      </c>
      <c r="X197" s="3">
        <v>4</v>
      </c>
      <c r="Y197" s="3">
        <v>0</v>
      </c>
      <c r="Z197" s="3">
        <v>-26</v>
      </c>
      <c r="AA197" s="3">
        <f t="shared" si="21"/>
        <v>-32.222222222222221</v>
      </c>
      <c r="AB197" s="3">
        <v>95</v>
      </c>
      <c r="AC197" s="3">
        <f t="shared" si="22"/>
        <v>35</v>
      </c>
    </row>
    <row r="198" spans="19:29">
      <c r="S198" s="3" t="s">
        <v>285</v>
      </c>
      <c r="T198" s="3">
        <v>16</v>
      </c>
      <c r="U198" s="3">
        <v>15.6</v>
      </c>
      <c r="V198" s="3">
        <f t="shared" si="20"/>
        <v>36285.600000000006</v>
      </c>
      <c r="W198" s="3">
        <v>2</v>
      </c>
      <c r="X198" s="3">
        <v>3</v>
      </c>
      <c r="Y198" s="3">
        <v>1</v>
      </c>
      <c r="Z198" s="3">
        <v>-18</v>
      </c>
      <c r="AA198" s="3">
        <f t="shared" si="21"/>
        <v>-27.777777777777779</v>
      </c>
      <c r="AB198" s="3">
        <v>156</v>
      </c>
      <c r="AC198" s="3">
        <f t="shared" si="22"/>
        <v>68.888888888888886</v>
      </c>
    </row>
    <row r="199" spans="19:29">
      <c r="S199" s="3" t="s">
        <v>286</v>
      </c>
      <c r="T199" s="3">
        <v>10</v>
      </c>
      <c r="U199" s="3">
        <v>21.7</v>
      </c>
      <c r="V199" s="3">
        <f t="shared" si="20"/>
        <v>50474.200000000004</v>
      </c>
      <c r="W199" s="3">
        <v>0</v>
      </c>
      <c r="X199" s="3">
        <v>2</v>
      </c>
      <c r="Y199" s="3">
        <v>0</v>
      </c>
      <c r="Z199" s="3">
        <v>110</v>
      </c>
      <c r="AA199" s="3">
        <f t="shared" si="21"/>
        <v>43.333333333333336</v>
      </c>
      <c r="AB199" s="3">
        <v>400</v>
      </c>
      <c r="AC199" s="3">
        <f t="shared" si="22"/>
        <v>204.44444444444446</v>
      </c>
    </row>
    <row r="200" spans="19:29">
      <c r="S200" s="3" t="s">
        <v>287</v>
      </c>
      <c r="T200" s="3">
        <v>16</v>
      </c>
      <c r="U200" s="3">
        <v>21.7</v>
      </c>
      <c r="V200" s="3">
        <f t="shared" si="20"/>
        <v>50474.200000000004</v>
      </c>
      <c r="W200" s="3">
        <v>1</v>
      </c>
      <c r="X200" s="3">
        <v>3</v>
      </c>
      <c r="Y200" s="3">
        <v>0</v>
      </c>
      <c r="Z200" s="3">
        <v>-10</v>
      </c>
      <c r="AA200" s="3">
        <f t="shared" si="21"/>
        <v>-23.333333333333332</v>
      </c>
      <c r="AC200" s="3" t="str">
        <f t="shared" si="22"/>
        <v/>
      </c>
    </row>
    <row r="201" spans="19:29">
      <c r="S201" s="3" t="s">
        <v>288</v>
      </c>
      <c r="T201" s="3">
        <v>10</v>
      </c>
      <c r="U201" s="3">
        <v>18.7</v>
      </c>
      <c r="V201" s="3">
        <f t="shared" si="20"/>
        <v>43496.200000000004</v>
      </c>
      <c r="W201" s="3">
        <v>0</v>
      </c>
      <c r="X201" s="3">
        <v>2</v>
      </c>
      <c r="Y201" s="3">
        <v>0</v>
      </c>
      <c r="Z201" s="3">
        <v>100</v>
      </c>
      <c r="AA201" s="3">
        <f t="shared" si="21"/>
        <v>37.777777777777779</v>
      </c>
      <c r="AB201" s="3">
        <v>304</v>
      </c>
      <c r="AC201" s="3">
        <f t="shared" si="22"/>
        <v>151.11111111111111</v>
      </c>
    </row>
    <row r="202" spans="19:29">
      <c r="S202" s="3" t="s">
        <v>289</v>
      </c>
      <c r="T202" s="3">
        <v>4</v>
      </c>
      <c r="U202" s="3">
        <v>12.9</v>
      </c>
      <c r="V202" s="3">
        <f t="shared" si="20"/>
        <v>30005.4</v>
      </c>
      <c r="W202" s="3">
        <v>1</v>
      </c>
      <c r="X202" s="3">
        <v>1</v>
      </c>
      <c r="Y202" s="3">
        <v>0</v>
      </c>
      <c r="Z202" s="3">
        <v>291</v>
      </c>
      <c r="AA202" s="3">
        <f t="shared" si="21"/>
        <v>143.88888888888889</v>
      </c>
      <c r="AB202" s="3">
        <v>356</v>
      </c>
      <c r="AC202" s="3">
        <f t="shared" si="22"/>
        <v>180</v>
      </c>
    </row>
    <row r="203" spans="19:29">
      <c r="S203" s="3" t="s">
        <v>290</v>
      </c>
      <c r="T203" s="3">
        <v>4</v>
      </c>
      <c r="U203" s="3">
        <v>16.8</v>
      </c>
      <c r="V203" s="3">
        <f t="shared" si="20"/>
        <v>39076.800000000003</v>
      </c>
      <c r="W203" s="3">
        <v>2</v>
      </c>
      <c r="X203" s="3">
        <v>1</v>
      </c>
      <c r="Y203" s="3">
        <v>0</v>
      </c>
      <c r="Z203" s="3">
        <v>262</v>
      </c>
      <c r="AA203" s="3">
        <f t="shared" si="21"/>
        <v>127.77777777777777</v>
      </c>
      <c r="AB203" s="3">
        <v>289</v>
      </c>
      <c r="AC203" s="3">
        <f t="shared" si="22"/>
        <v>142.77777777777777</v>
      </c>
    </row>
    <row r="204" spans="19:29">
      <c r="S204" s="3" t="s">
        <v>291</v>
      </c>
      <c r="T204" s="3">
        <v>40</v>
      </c>
      <c r="U204" s="3">
        <v>15</v>
      </c>
      <c r="V204" s="3">
        <f t="shared" si="20"/>
        <v>34890</v>
      </c>
      <c r="W204" s="3">
        <v>0</v>
      </c>
      <c r="X204" s="3">
        <v>1</v>
      </c>
      <c r="Y204" s="3">
        <v>4</v>
      </c>
      <c r="AA204" s="3" t="str">
        <f t="shared" si="21"/>
        <v/>
      </c>
      <c r="AC204" s="3" t="str">
        <f t="shared" si="22"/>
        <v/>
      </c>
    </row>
    <row r="205" spans="19:29">
      <c r="S205" s="3" t="s">
        <v>292</v>
      </c>
      <c r="T205" s="3">
        <v>14</v>
      </c>
      <c r="U205" s="3">
        <v>3</v>
      </c>
      <c r="V205" s="3">
        <f t="shared" si="20"/>
        <v>6978</v>
      </c>
      <c r="W205" s="3">
        <v>1</v>
      </c>
      <c r="X205" s="3">
        <v>2</v>
      </c>
      <c r="Y205" s="3">
        <v>1</v>
      </c>
      <c r="Z205" s="3">
        <v>85</v>
      </c>
      <c r="AA205" s="3">
        <f t="shared" si="21"/>
        <v>29.444444444444443</v>
      </c>
      <c r="AB205" s="3">
        <v>165</v>
      </c>
      <c r="AC205" s="3">
        <f t="shared" si="22"/>
        <v>73.888888888888886</v>
      </c>
    </row>
    <row r="206" spans="19:29">
      <c r="S206" s="3" t="s">
        <v>293</v>
      </c>
      <c r="T206" s="3">
        <v>4</v>
      </c>
      <c r="U206" s="3">
        <v>19</v>
      </c>
      <c r="V206" s="3">
        <f t="shared" si="20"/>
        <v>44194</v>
      </c>
      <c r="W206" s="3">
        <v>0</v>
      </c>
      <c r="Y206" s="3">
        <v>0</v>
      </c>
      <c r="Z206" s="3">
        <v>300</v>
      </c>
      <c r="AA206" s="3">
        <f t="shared" si="21"/>
        <v>148.88888888888889</v>
      </c>
      <c r="AB206" s="3">
        <v>680</v>
      </c>
      <c r="AC206" s="3">
        <f t="shared" si="22"/>
        <v>360</v>
      </c>
    </row>
    <row r="207" spans="19:29">
      <c r="S207" s="3" t="s">
        <v>294</v>
      </c>
      <c r="T207" s="3">
        <v>14</v>
      </c>
      <c r="U207" s="3">
        <v>10.6</v>
      </c>
      <c r="V207" s="3">
        <f t="shared" si="20"/>
        <v>24655.599999999999</v>
      </c>
      <c r="W207" s="3">
        <v>0</v>
      </c>
      <c r="X207" s="3">
        <v>1</v>
      </c>
      <c r="Y207" s="3">
        <v>1</v>
      </c>
      <c r="AA207" s="3" t="str">
        <f t="shared" si="21"/>
        <v/>
      </c>
      <c r="AB207" s="3">
        <v>2025</v>
      </c>
      <c r="AC207" s="3">
        <f t="shared" si="22"/>
        <v>1107.2222222222222</v>
      </c>
    </row>
    <row r="208" spans="19:29">
      <c r="S208" s="3" t="s">
        <v>295</v>
      </c>
      <c r="T208" s="3">
        <v>14</v>
      </c>
      <c r="U208" s="3">
        <v>5.9</v>
      </c>
      <c r="V208" s="3">
        <f t="shared" si="20"/>
        <v>13723.400000000001</v>
      </c>
      <c r="W208" s="3">
        <v>3</v>
      </c>
      <c r="X208" s="3">
        <v>1</v>
      </c>
      <c r="Y208" s="3">
        <v>1</v>
      </c>
      <c r="Z208" s="3">
        <v>215</v>
      </c>
      <c r="AA208" s="3">
        <f t="shared" si="21"/>
        <v>101.66666666666667</v>
      </c>
      <c r="AB208" s="3">
        <v>395</v>
      </c>
      <c r="AC208" s="3">
        <f t="shared" si="22"/>
        <v>201.66666666666666</v>
      </c>
    </row>
    <row r="209" spans="19:29">
      <c r="S209" s="3" t="s">
        <v>296</v>
      </c>
      <c r="T209" s="3">
        <v>24</v>
      </c>
      <c r="U209" s="3">
        <v>9.3000000000000007</v>
      </c>
      <c r="V209" s="3">
        <f t="shared" si="20"/>
        <v>21631.800000000003</v>
      </c>
      <c r="W209" s="3">
        <v>3</v>
      </c>
      <c r="X209" s="3">
        <v>2</v>
      </c>
      <c r="Y209" s="3">
        <v>2</v>
      </c>
      <c r="Z209" s="3">
        <v>171</v>
      </c>
      <c r="AA209" s="3">
        <f t="shared" si="21"/>
        <v>77.222222222222229</v>
      </c>
      <c r="AB209" s="3">
        <v>325</v>
      </c>
      <c r="AC209" s="3">
        <f t="shared" si="22"/>
        <v>162.77777777777777</v>
      </c>
    </row>
    <row r="210" spans="19:29">
      <c r="S210" s="3" t="s">
        <v>297</v>
      </c>
      <c r="T210" s="3">
        <v>21</v>
      </c>
      <c r="U210" s="3">
        <v>21.5</v>
      </c>
      <c r="V210" s="3">
        <f t="shared" si="20"/>
        <v>50009</v>
      </c>
      <c r="W210" s="3">
        <v>1</v>
      </c>
      <c r="X210" s="3">
        <v>4</v>
      </c>
      <c r="Y210" s="3">
        <v>0</v>
      </c>
      <c r="AA210" s="3" t="str">
        <f t="shared" si="21"/>
        <v/>
      </c>
      <c r="AB210" s="3">
        <v>-258</v>
      </c>
      <c r="AC210" s="3">
        <f t="shared" si="22"/>
        <v>-161.11111111111111</v>
      </c>
    </row>
    <row r="211" spans="19:29">
      <c r="S211" s="3" t="s">
        <v>298</v>
      </c>
      <c r="T211" s="3">
        <v>16</v>
      </c>
      <c r="U211" s="3">
        <v>8.5</v>
      </c>
      <c r="V211" s="3">
        <f t="shared" si="20"/>
        <v>19771</v>
      </c>
      <c r="W211" s="3">
        <v>1</v>
      </c>
      <c r="X211" s="3">
        <v>3</v>
      </c>
      <c r="Y211" s="3">
        <v>0</v>
      </c>
      <c r="Z211" s="3">
        <v>14</v>
      </c>
      <c r="AA211" s="3">
        <f t="shared" si="21"/>
        <v>-10</v>
      </c>
      <c r="AB211" s="3">
        <v>140</v>
      </c>
      <c r="AC211" s="3">
        <f t="shared" si="22"/>
        <v>60</v>
      </c>
    </row>
    <row r="212" spans="19:29">
      <c r="S212" s="3" t="s">
        <v>300</v>
      </c>
      <c r="T212" s="3">
        <v>24</v>
      </c>
      <c r="U212" s="3">
        <v>18.7</v>
      </c>
      <c r="V212" s="3">
        <f t="shared" si="20"/>
        <v>43496.200000000004</v>
      </c>
      <c r="W212" s="3">
        <v>3</v>
      </c>
      <c r="X212" s="3">
        <v>3</v>
      </c>
      <c r="Y212" s="3">
        <v>2</v>
      </c>
      <c r="Z212" s="3">
        <v>27</v>
      </c>
      <c r="AA212" s="3">
        <f t="shared" si="21"/>
        <v>-2.7777777777777777</v>
      </c>
      <c r="AB212" s="3">
        <v>177</v>
      </c>
      <c r="AC212" s="3">
        <f t="shared" si="22"/>
        <v>80.555555555555557</v>
      </c>
    </row>
    <row r="213" spans="19:29">
      <c r="S213" s="3" t="s">
        <v>301</v>
      </c>
      <c r="T213" s="3">
        <v>16</v>
      </c>
      <c r="U213" s="3">
        <v>8.6</v>
      </c>
      <c r="V213" s="3">
        <f t="shared" si="20"/>
        <v>20003.599999999999</v>
      </c>
      <c r="W213" s="3">
        <v>1</v>
      </c>
      <c r="X213" s="3">
        <v>3</v>
      </c>
      <c r="Y213" s="3">
        <v>0</v>
      </c>
      <c r="Z213" s="3">
        <v>52</v>
      </c>
      <c r="AA213" s="3">
        <f t="shared" si="21"/>
        <v>11.111111111111111</v>
      </c>
      <c r="AB213" s="3">
        <v>147</v>
      </c>
      <c r="AC213" s="3">
        <f t="shared" si="22"/>
        <v>63.888888888888886</v>
      </c>
    </row>
    <row r="214" spans="19:29">
      <c r="S214" s="3" t="s">
        <v>303</v>
      </c>
      <c r="T214" s="3">
        <v>10</v>
      </c>
      <c r="U214" s="3">
        <v>15.4</v>
      </c>
      <c r="V214" s="3">
        <f t="shared" si="20"/>
        <v>35820.400000000001</v>
      </c>
      <c r="W214" s="3">
        <v>1</v>
      </c>
      <c r="X214" s="3">
        <v>2</v>
      </c>
      <c r="Y214" s="3">
        <v>0</v>
      </c>
      <c r="Z214" s="3">
        <v>102</v>
      </c>
      <c r="AA214" s="3">
        <f t="shared" si="21"/>
        <v>38.888888888888886</v>
      </c>
      <c r="AB214" s="3">
        <v>302</v>
      </c>
      <c r="AC214" s="3">
        <f t="shared" si="22"/>
        <v>150</v>
      </c>
    </row>
    <row r="215" spans="19:29">
      <c r="S215" s="3" t="s">
        <v>304</v>
      </c>
      <c r="T215" s="3">
        <v>16</v>
      </c>
      <c r="U215" s="3">
        <v>0</v>
      </c>
      <c r="V215" s="3">
        <f t="shared" si="20"/>
        <v>0</v>
      </c>
      <c r="W215" s="3">
        <v>2</v>
      </c>
      <c r="X215" s="3">
        <v>3</v>
      </c>
      <c r="Y215" s="3">
        <v>1</v>
      </c>
      <c r="Z215" s="3">
        <v>80</v>
      </c>
      <c r="AA215" s="3">
        <f t="shared" si="21"/>
        <v>26.666666666666668</v>
      </c>
      <c r="AB215" s="3">
        <v>156</v>
      </c>
      <c r="AC215" s="3">
        <f t="shared" si="22"/>
        <v>68.888888888888886</v>
      </c>
    </row>
    <row r="216" spans="19:29">
      <c r="S216" s="3" t="s">
        <v>305</v>
      </c>
      <c r="T216" s="3">
        <v>16</v>
      </c>
      <c r="U216" s="3">
        <v>6.2</v>
      </c>
      <c r="V216" s="3">
        <f t="shared" si="20"/>
        <v>14421.2</v>
      </c>
      <c r="W216" s="3">
        <v>2</v>
      </c>
      <c r="X216" s="3">
        <v>3</v>
      </c>
      <c r="Y216" s="3">
        <v>1</v>
      </c>
      <c r="Z216" s="3">
        <v>66</v>
      </c>
      <c r="AA216" s="3">
        <f t="shared" si="21"/>
        <v>18.888888888888889</v>
      </c>
      <c r="AB216" s="3">
        <v>192</v>
      </c>
      <c r="AC216" s="3">
        <f t="shared" si="22"/>
        <v>88.888888888888886</v>
      </c>
    </row>
    <row r="217" spans="19:29">
      <c r="S217" s="3" t="s">
        <v>308</v>
      </c>
      <c r="T217" s="3">
        <v>21</v>
      </c>
      <c r="U217" s="3">
        <v>5.5</v>
      </c>
      <c r="V217" s="3">
        <f t="shared" si="20"/>
        <v>12793.000000000002</v>
      </c>
      <c r="W217" s="3">
        <v>1</v>
      </c>
      <c r="X217" s="3">
        <v>4</v>
      </c>
      <c r="Y217" s="3">
        <v>0</v>
      </c>
      <c r="Z217" s="3">
        <v>-50</v>
      </c>
      <c r="AA217" s="3">
        <f t="shared" si="21"/>
        <v>-45.555555555555557</v>
      </c>
      <c r="AB217" s="3">
        <v>-12</v>
      </c>
      <c r="AC217" s="3">
        <f t="shared" si="22"/>
        <v>-24.444444444444443</v>
      </c>
    </row>
    <row r="218" spans="19:29">
      <c r="S218" s="3" t="s">
        <v>309</v>
      </c>
      <c r="T218" s="3">
        <v>14</v>
      </c>
      <c r="U218" s="3">
        <v>5.0999999999999996</v>
      </c>
      <c r="V218" s="3">
        <f t="shared" si="20"/>
        <v>11862.599999999999</v>
      </c>
      <c r="W218" s="3">
        <v>2</v>
      </c>
      <c r="X218" s="3">
        <v>2</v>
      </c>
      <c r="Y218" s="3">
        <v>1</v>
      </c>
      <c r="Z218" s="3">
        <v>135</v>
      </c>
      <c r="AA218" s="3">
        <f t="shared" si="21"/>
        <v>57.222222222222221</v>
      </c>
      <c r="AB218" s="3">
        <v>266</v>
      </c>
      <c r="AC218" s="3">
        <f t="shared" si="22"/>
        <v>130</v>
      </c>
    </row>
    <row r="219" spans="19:29">
      <c r="S219" s="3" t="s">
        <v>311</v>
      </c>
      <c r="T219" s="3">
        <v>14</v>
      </c>
      <c r="U219" s="3">
        <v>17.399999999999999</v>
      </c>
      <c r="V219" s="3">
        <f t="shared" si="20"/>
        <v>40472.400000000001</v>
      </c>
      <c r="W219" s="3">
        <v>1</v>
      </c>
      <c r="X219" s="3">
        <v>2</v>
      </c>
      <c r="Y219" s="3">
        <v>1</v>
      </c>
      <c r="Z219" s="3">
        <v>120</v>
      </c>
      <c r="AA219" s="3">
        <f t="shared" si="21"/>
        <v>48.888888888888886</v>
      </c>
      <c r="AB219" s="3">
        <v>163</v>
      </c>
      <c r="AC219" s="3">
        <f t="shared" si="22"/>
        <v>72.777777777777771</v>
      </c>
    </row>
    <row r="220" spans="19:29">
      <c r="S220" s="3" t="s">
        <v>314</v>
      </c>
      <c r="T220" s="3">
        <v>21</v>
      </c>
      <c r="U220" s="3">
        <v>12.4</v>
      </c>
      <c r="V220" s="3">
        <f t="shared" si="20"/>
        <v>28842.400000000001</v>
      </c>
      <c r="W220" s="3">
        <v>2</v>
      </c>
      <c r="X220" s="3">
        <v>4</v>
      </c>
      <c r="Y220" s="3">
        <v>1</v>
      </c>
      <c r="AA220" s="3" t="str">
        <f t="shared" si="21"/>
        <v/>
      </c>
      <c r="AB220" s="3">
        <v>-11</v>
      </c>
      <c r="AC220" s="3">
        <f t="shared" si="22"/>
        <v>-23.888888888888889</v>
      </c>
    </row>
    <row r="221" spans="19:29">
      <c r="S221" s="3" t="s">
        <v>315</v>
      </c>
      <c r="T221" s="3">
        <v>16</v>
      </c>
      <c r="U221" s="3">
        <v>13.5</v>
      </c>
      <c r="V221" s="3">
        <f t="shared" si="20"/>
        <v>31401</v>
      </c>
      <c r="W221" s="3">
        <v>1</v>
      </c>
      <c r="X221" s="3">
        <v>3</v>
      </c>
      <c r="Y221" s="3">
        <v>0</v>
      </c>
      <c r="Z221" s="3">
        <v>16</v>
      </c>
      <c r="AA221" s="3">
        <f t="shared" si="21"/>
        <v>-8.8888888888888893</v>
      </c>
      <c r="AB221" s="3">
        <v>176</v>
      </c>
      <c r="AC221" s="3">
        <f t="shared" si="22"/>
        <v>80</v>
      </c>
    </row>
    <row r="222" spans="19:29">
      <c r="S222" s="3" t="s">
        <v>316</v>
      </c>
      <c r="T222" s="3">
        <v>21</v>
      </c>
      <c r="U222" s="3">
        <v>6.4</v>
      </c>
      <c r="V222" s="3">
        <f t="shared" si="20"/>
        <v>14886.400000000001</v>
      </c>
      <c r="W222" s="3">
        <v>2</v>
      </c>
      <c r="X222" s="3">
        <v>4</v>
      </c>
      <c r="Y222" s="3">
        <v>0</v>
      </c>
      <c r="Z222" s="3">
        <v>-2</v>
      </c>
      <c r="AA222" s="3">
        <f t="shared" si="21"/>
        <v>-18.888888888888889</v>
      </c>
      <c r="AB222" s="3">
        <v>89</v>
      </c>
      <c r="AC222" s="3">
        <f t="shared" si="22"/>
        <v>31.666666666666668</v>
      </c>
    </row>
    <row r="223" spans="19:29">
      <c r="S223" s="3" t="s">
        <v>317</v>
      </c>
      <c r="T223" s="3">
        <v>24</v>
      </c>
      <c r="U223" s="3">
        <v>10.9</v>
      </c>
      <c r="V223" s="3">
        <f t="shared" si="20"/>
        <v>25353.4</v>
      </c>
      <c r="W223" s="3">
        <v>4</v>
      </c>
      <c r="X223" s="3">
        <v>3</v>
      </c>
      <c r="Y223" s="3">
        <v>2</v>
      </c>
      <c r="Z223" s="3">
        <v>21</v>
      </c>
      <c r="AA223" s="3">
        <f t="shared" si="21"/>
        <v>-6.1111111111111107</v>
      </c>
      <c r="AB223" s="3">
        <v>190</v>
      </c>
      <c r="AC223" s="3">
        <f t="shared" si="22"/>
        <v>87.777777777777771</v>
      </c>
    </row>
    <row r="224" spans="19:29">
      <c r="S224" s="3" t="s">
        <v>318</v>
      </c>
      <c r="T224" s="3">
        <v>16</v>
      </c>
      <c r="U224" s="3">
        <v>16.600000000000001</v>
      </c>
      <c r="V224" s="3">
        <f t="shared" si="20"/>
        <v>38611.600000000006</v>
      </c>
      <c r="W224" s="3">
        <v>2</v>
      </c>
      <c r="X224" s="3">
        <v>3</v>
      </c>
      <c r="Y224" s="3">
        <v>1</v>
      </c>
      <c r="Z224" s="3">
        <v>64</v>
      </c>
      <c r="AA224" s="3">
        <f t="shared" si="21"/>
        <v>17.777777777777779</v>
      </c>
      <c r="AB224" s="3">
        <v>242</v>
      </c>
      <c r="AC224" s="3">
        <f t="shared" si="22"/>
        <v>116.66666666666667</v>
      </c>
    </row>
    <row r="225" spans="19:29">
      <c r="S225" s="3" t="s">
        <v>319</v>
      </c>
      <c r="T225" s="3">
        <v>21</v>
      </c>
      <c r="U225" s="3">
        <v>10</v>
      </c>
      <c r="V225" s="3">
        <f t="shared" si="20"/>
        <v>23260</v>
      </c>
      <c r="W225" s="3">
        <v>4</v>
      </c>
      <c r="X225" s="3">
        <v>4</v>
      </c>
      <c r="Y225" s="3">
        <v>0</v>
      </c>
      <c r="AA225" s="3" t="str">
        <f t="shared" si="21"/>
        <v/>
      </c>
      <c r="AB225" s="3">
        <v>43</v>
      </c>
      <c r="AC225" s="3">
        <f t="shared" si="22"/>
        <v>6.1111111111111107</v>
      </c>
    </row>
    <row r="226" spans="19:29">
      <c r="S226" s="3" t="s">
        <v>320</v>
      </c>
      <c r="T226" s="3">
        <v>24</v>
      </c>
      <c r="U226" s="3">
        <v>11.9</v>
      </c>
      <c r="V226" s="3">
        <f t="shared" si="20"/>
        <v>27679.4</v>
      </c>
      <c r="W226" s="3">
        <v>2</v>
      </c>
      <c r="X226" s="3">
        <v>3</v>
      </c>
      <c r="Y226" s="3">
        <v>2</v>
      </c>
      <c r="Z226" s="3">
        <v>50</v>
      </c>
      <c r="AA226" s="3">
        <f t="shared" si="21"/>
        <v>10</v>
      </c>
      <c r="AB226" s="3">
        <v>213</v>
      </c>
      <c r="AC226" s="3">
        <f t="shared" si="22"/>
        <v>100.55555555555556</v>
      </c>
    </row>
    <row r="227" spans="19:29">
      <c r="S227" s="3" t="s">
        <v>322</v>
      </c>
      <c r="T227" s="3">
        <v>24</v>
      </c>
      <c r="U227" s="3">
        <v>13.4</v>
      </c>
      <c r="V227" s="3">
        <f t="shared" si="20"/>
        <v>31168.400000000001</v>
      </c>
      <c r="W227" s="3">
        <v>4</v>
      </c>
      <c r="X227" s="3">
        <v>3</v>
      </c>
      <c r="Y227" s="3">
        <v>2</v>
      </c>
      <c r="Z227" s="3">
        <v>20</v>
      </c>
      <c r="AA227" s="3">
        <f t="shared" si="21"/>
        <v>-6.666666666666667</v>
      </c>
      <c r="AB227" s="3">
        <v>179</v>
      </c>
      <c r="AC227" s="3">
        <f t="shared" si="22"/>
        <v>81.666666666666671</v>
      </c>
    </row>
    <row r="228" spans="19:29">
      <c r="S228" s="3" t="s">
        <v>299</v>
      </c>
      <c r="T228" s="3">
        <v>24</v>
      </c>
      <c r="U228" s="3">
        <v>20</v>
      </c>
      <c r="V228" s="3">
        <f t="shared" si="20"/>
        <v>46520</v>
      </c>
      <c r="W228" s="3">
        <v>2</v>
      </c>
      <c r="X228" s="3">
        <v>4</v>
      </c>
      <c r="Y228" s="3">
        <v>2</v>
      </c>
      <c r="AA228" s="3" t="str">
        <f t="shared" si="21"/>
        <v/>
      </c>
      <c r="AB228" s="3">
        <v>-10</v>
      </c>
      <c r="AC228" s="3">
        <f t="shared" si="22"/>
        <v>-23.333333333333332</v>
      </c>
    </row>
    <row r="229" spans="19:29">
      <c r="S229" s="3" t="s">
        <v>302</v>
      </c>
      <c r="T229" s="3">
        <v>21</v>
      </c>
      <c r="U229" s="3">
        <v>13.2</v>
      </c>
      <c r="V229" s="3">
        <f t="shared" si="20"/>
        <v>30703.200000000001</v>
      </c>
      <c r="W229" s="3">
        <v>3</v>
      </c>
      <c r="X229" s="3">
        <v>4</v>
      </c>
      <c r="Y229" s="3">
        <v>0</v>
      </c>
      <c r="AA229" s="3" t="str">
        <f t="shared" si="21"/>
        <v/>
      </c>
      <c r="AB229" s="3">
        <v>21</v>
      </c>
      <c r="AC229" s="3">
        <f t="shared" si="22"/>
        <v>-6.1111111111111107</v>
      </c>
    </row>
    <row r="230" spans="19:29">
      <c r="S230" s="3" t="s">
        <v>306</v>
      </c>
      <c r="T230" s="3">
        <v>4</v>
      </c>
      <c r="U230" s="3">
        <v>6.5</v>
      </c>
      <c r="V230" s="3">
        <f t="shared" si="20"/>
        <v>15119</v>
      </c>
      <c r="W230" s="3">
        <v>0</v>
      </c>
      <c r="X230" s="3">
        <v>1</v>
      </c>
      <c r="Y230" s="3">
        <v>0</v>
      </c>
      <c r="AA230" s="3" t="str">
        <f t="shared" si="21"/>
        <v/>
      </c>
      <c r="AC230" s="3" t="str">
        <f t="shared" si="22"/>
        <v/>
      </c>
    </row>
    <row r="231" spans="19:29">
      <c r="S231" s="3" t="s">
        <v>307</v>
      </c>
      <c r="T231" s="3">
        <v>16</v>
      </c>
      <c r="U231" s="3">
        <v>6.5</v>
      </c>
      <c r="V231" s="3">
        <f t="shared" si="20"/>
        <v>15119</v>
      </c>
      <c r="W231" s="3">
        <v>0</v>
      </c>
      <c r="X231" s="3">
        <v>1</v>
      </c>
      <c r="Y231" s="3">
        <v>0</v>
      </c>
      <c r="AA231" s="3" t="str">
        <f t="shared" si="21"/>
        <v/>
      </c>
      <c r="AC231" s="3" t="str">
        <f t="shared" si="22"/>
        <v/>
      </c>
    </row>
    <row r="232" spans="19:29">
      <c r="S232" s="3" t="s">
        <v>310</v>
      </c>
      <c r="T232" s="3">
        <v>16</v>
      </c>
      <c r="U232" s="3">
        <v>19</v>
      </c>
      <c r="V232" s="3">
        <f t="shared" si="20"/>
        <v>44194</v>
      </c>
      <c r="W232" s="3">
        <v>2</v>
      </c>
      <c r="X232" s="3">
        <v>3</v>
      </c>
      <c r="Y232" s="3">
        <v>0</v>
      </c>
      <c r="Z232" s="3">
        <v>25</v>
      </c>
      <c r="AA232" s="3">
        <f t="shared" si="21"/>
        <v>-3.8888888888888888</v>
      </c>
      <c r="AB232" s="3">
        <v>214</v>
      </c>
      <c r="AC232" s="3">
        <f t="shared" si="22"/>
        <v>101.11111111111111</v>
      </c>
    </row>
    <row r="233" spans="19:29">
      <c r="S233" s="3" t="s">
        <v>312</v>
      </c>
      <c r="T233" s="3">
        <v>4</v>
      </c>
      <c r="U233" s="3">
        <v>2.2999999999999998</v>
      </c>
      <c r="V233" s="3">
        <f t="shared" si="20"/>
        <v>5349.8</v>
      </c>
      <c r="W233" s="3">
        <v>2</v>
      </c>
      <c r="X233" s="3">
        <v>1</v>
      </c>
      <c r="Y233" s="3">
        <v>0</v>
      </c>
      <c r="AA233" s="3" t="str">
        <f t="shared" si="21"/>
        <v/>
      </c>
      <c r="AB233" s="3">
        <v>104</v>
      </c>
      <c r="AC233" s="3">
        <f t="shared" si="22"/>
        <v>40</v>
      </c>
    </row>
    <row r="234" spans="19:29">
      <c r="S234" s="3" t="s">
        <v>313</v>
      </c>
      <c r="T234" s="3">
        <v>14</v>
      </c>
      <c r="U234" s="3">
        <v>12.6</v>
      </c>
      <c r="V234" s="3">
        <f t="shared" si="20"/>
        <v>29307.600000000002</v>
      </c>
      <c r="W234" s="3">
        <v>2</v>
      </c>
      <c r="X234" s="3">
        <v>1</v>
      </c>
      <c r="Y234" s="3">
        <v>1</v>
      </c>
      <c r="Z234" s="3">
        <v>460</v>
      </c>
      <c r="AA234" s="3">
        <f t="shared" si="21"/>
        <v>237.77777777777777</v>
      </c>
      <c r="AC234" s="3" t="str">
        <f t="shared" si="22"/>
        <v/>
      </c>
    </row>
    <row r="235" spans="19:29">
      <c r="S235" s="3" t="s">
        <v>321</v>
      </c>
      <c r="T235" s="3">
        <v>24</v>
      </c>
      <c r="U235" s="3">
        <v>15.4</v>
      </c>
      <c r="V235" s="3">
        <f t="shared" si="20"/>
        <v>35820.400000000001</v>
      </c>
      <c r="W235" s="3">
        <v>3</v>
      </c>
      <c r="X235" s="3">
        <v>3</v>
      </c>
      <c r="Y235" s="3">
        <v>2</v>
      </c>
      <c r="Z235" s="3">
        <v>35</v>
      </c>
      <c r="AA235" s="3">
        <f t="shared" si="21"/>
        <v>1.6666666666666667</v>
      </c>
      <c r="AB235" s="3">
        <v>154</v>
      </c>
      <c r="AC235" s="3">
        <f t="shared" si="22"/>
        <v>67.777777777777771</v>
      </c>
    </row>
    <row r="236" spans="19:29">
      <c r="S236" s="3" t="s">
        <v>323</v>
      </c>
      <c r="T236" s="3">
        <v>4</v>
      </c>
      <c r="U236" s="3">
        <v>17</v>
      </c>
      <c r="V236" s="3">
        <f t="shared" si="20"/>
        <v>39542</v>
      </c>
      <c r="W236" s="3">
        <v>0</v>
      </c>
      <c r="X236" s="3">
        <v>1</v>
      </c>
      <c r="Y236" s="3">
        <v>0</v>
      </c>
      <c r="Z236" s="3">
        <v>380</v>
      </c>
      <c r="AA236" s="3">
        <f t="shared" si="21"/>
        <v>193.33333333333334</v>
      </c>
      <c r="AB236" s="3">
        <v>680</v>
      </c>
      <c r="AC236" s="3">
        <f t="shared" si="22"/>
        <v>360</v>
      </c>
    </row>
    <row r="237" spans="19:29">
      <c r="S237" s="3" t="s">
        <v>324</v>
      </c>
      <c r="T237" s="3">
        <v>10</v>
      </c>
      <c r="U237" s="3">
        <v>17.600000000000001</v>
      </c>
      <c r="V237" s="3">
        <f t="shared" si="20"/>
        <v>40937.600000000006</v>
      </c>
      <c r="W237" s="3">
        <v>0</v>
      </c>
      <c r="X237" s="3">
        <v>2</v>
      </c>
      <c r="Y237" s="3">
        <v>0</v>
      </c>
      <c r="Z237" s="3">
        <v>275</v>
      </c>
      <c r="AA237" s="3">
        <f t="shared" si="21"/>
        <v>135</v>
      </c>
      <c r="AB237" s="3">
        <v>480</v>
      </c>
      <c r="AC237" s="3">
        <f t="shared" si="22"/>
        <v>248.88888888888889</v>
      </c>
    </row>
    <row r="238" spans="19:29">
      <c r="S238" s="3" t="s">
        <v>325</v>
      </c>
      <c r="T238" s="3">
        <v>16</v>
      </c>
      <c r="U238" s="3">
        <v>11.3</v>
      </c>
      <c r="V238" s="3">
        <f t="shared" si="20"/>
        <v>26283.800000000003</v>
      </c>
      <c r="W238" s="3">
        <v>2</v>
      </c>
      <c r="X238" s="3">
        <v>3</v>
      </c>
      <c r="Y238" s="3">
        <v>0</v>
      </c>
      <c r="Z238" s="3">
        <v>84</v>
      </c>
      <c r="AA238" s="3">
        <f t="shared" si="21"/>
        <v>28.888888888888889</v>
      </c>
      <c r="AB238" s="3">
        <v>270</v>
      </c>
      <c r="AC238" s="3">
        <f t="shared" si="22"/>
        <v>132.22222222222223</v>
      </c>
    </row>
    <row r="239" spans="19:29">
      <c r="S239" s="3" t="s">
        <v>326</v>
      </c>
      <c r="T239" s="3">
        <v>10</v>
      </c>
      <c r="U239" s="3">
        <v>9.6</v>
      </c>
      <c r="V239" s="3">
        <f t="shared" si="20"/>
        <v>22329.599999999999</v>
      </c>
      <c r="W239" s="3">
        <v>2</v>
      </c>
      <c r="X239" s="3">
        <v>2</v>
      </c>
      <c r="Y239" s="3">
        <v>0</v>
      </c>
      <c r="Z239" s="3">
        <v>185</v>
      </c>
      <c r="AA239" s="3">
        <f t="shared" si="21"/>
        <v>85</v>
      </c>
      <c r="AB239" s="3">
        <v>339</v>
      </c>
      <c r="AC239" s="3">
        <f t="shared" si="22"/>
        <v>170.55555555555554</v>
      </c>
    </row>
    <row r="240" spans="19:29">
      <c r="S240" s="3" t="s">
        <v>327</v>
      </c>
      <c r="T240" s="3">
        <v>16</v>
      </c>
      <c r="U240" s="3">
        <v>18</v>
      </c>
      <c r="V240" s="3">
        <f t="shared" si="20"/>
        <v>41868</v>
      </c>
      <c r="W240" s="3">
        <v>1</v>
      </c>
      <c r="X240" s="3">
        <v>3</v>
      </c>
      <c r="Y240" s="3">
        <v>0</v>
      </c>
      <c r="Z240" s="3">
        <v>28</v>
      </c>
      <c r="AA240" s="3">
        <f t="shared" si="21"/>
        <v>-2.2222222222222223</v>
      </c>
      <c r="AB240" s="3">
        <v>212</v>
      </c>
      <c r="AC240" s="3">
        <f t="shared" si="22"/>
        <v>100</v>
      </c>
    </row>
    <row r="241" spans="19:29">
      <c r="S241" s="3" t="s">
        <v>328</v>
      </c>
      <c r="T241" s="3">
        <v>10</v>
      </c>
      <c r="U241" s="3">
        <v>16.7</v>
      </c>
      <c r="V241" s="3">
        <f t="shared" si="20"/>
        <v>38844.199999999997</v>
      </c>
      <c r="W241" s="3">
        <v>2</v>
      </c>
      <c r="X241" s="3">
        <v>2</v>
      </c>
      <c r="Y241" s="3">
        <v>0</v>
      </c>
      <c r="Z241" s="3">
        <v>174</v>
      </c>
      <c r="AA241" s="3">
        <f t="shared" si="21"/>
        <v>78.888888888888886</v>
      </c>
      <c r="AB241" s="3">
        <v>424</v>
      </c>
      <c r="AC241" s="3">
        <f t="shared" si="22"/>
        <v>217.77777777777777</v>
      </c>
    </row>
    <row r="242" spans="19:29">
      <c r="S242" s="3" t="s">
        <v>329</v>
      </c>
      <c r="T242" s="3">
        <v>14</v>
      </c>
      <c r="U242" s="3">
        <v>10.4</v>
      </c>
      <c r="V242" s="3">
        <f t="shared" si="20"/>
        <v>24190.400000000001</v>
      </c>
      <c r="W242" s="3">
        <v>3</v>
      </c>
      <c r="X242" s="3">
        <v>2</v>
      </c>
      <c r="Y242" s="3">
        <v>1</v>
      </c>
      <c r="Z242" s="3">
        <v>190</v>
      </c>
      <c r="AA242" s="3">
        <f t="shared" si="21"/>
        <v>87.777777777777771</v>
      </c>
      <c r="AB242" s="3">
        <v>411</v>
      </c>
      <c r="AC242" s="3">
        <f t="shared" si="22"/>
        <v>210.55555555555554</v>
      </c>
    </row>
    <row r="243" spans="19:29">
      <c r="S243" s="3" t="s">
        <v>330</v>
      </c>
      <c r="T243" s="3">
        <v>4</v>
      </c>
      <c r="U243" s="3">
        <v>12.7</v>
      </c>
      <c r="V243" s="3">
        <f t="shared" si="20"/>
        <v>29540.199999999997</v>
      </c>
      <c r="W243" s="3">
        <v>2</v>
      </c>
      <c r="X243" s="3">
        <v>1</v>
      </c>
      <c r="Y243" s="3">
        <v>2</v>
      </c>
      <c r="Z243" s="3">
        <v>290</v>
      </c>
      <c r="AA243" s="3">
        <f t="shared" si="21"/>
        <v>143.33333333333334</v>
      </c>
      <c r="AB243" s="3">
        <v>626</v>
      </c>
      <c r="AC243" s="3">
        <f t="shared" si="22"/>
        <v>330</v>
      </c>
    </row>
    <row r="244" spans="19:29">
      <c r="S244" s="3" t="s">
        <v>331</v>
      </c>
      <c r="T244" s="3">
        <v>4</v>
      </c>
      <c r="U244" s="3">
        <v>7.8</v>
      </c>
      <c r="V244" s="3">
        <f t="shared" si="20"/>
        <v>18142.800000000003</v>
      </c>
      <c r="W244" s="3">
        <v>3</v>
      </c>
      <c r="X244" s="3">
        <v>1</v>
      </c>
      <c r="Y244" s="3">
        <v>2</v>
      </c>
      <c r="Z244" s="3">
        <v>261</v>
      </c>
      <c r="AA244" s="3">
        <f t="shared" si="21"/>
        <v>127.22222222222223</v>
      </c>
      <c r="AB244" s="3">
        <v>457</v>
      </c>
      <c r="AC244" s="3">
        <f t="shared" si="22"/>
        <v>236.11111111111111</v>
      </c>
    </row>
    <row r="245" spans="19:29">
      <c r="S245" s="3" t="s">
        <v>332</v>
      </c>
      <c r="T245" s="3">
        <v>29</v>
      </c>
      <c r="U245" s="3">
        <v>7.7</v>
      </c>
      <c r="V245" s="3">
        <f t="shared" si="20"/>
        <v>17910.2</v>
      </c>
      <c r="W245" s="3">
        <v>1</v>
      </c>
      <c r="X245" s="3">
        <v>3</v>
      </c>
      <c r="Y245" s="3">
        <v>3</v>
      </c>
      <c r="Z245" s="3">
        <v>82</v>
      </c>
      <c r="AA245" s="3">
        <f t="shared" si="21"/>
        <v>27.777777777777779</v>
      </c>
      <c r="AB245" s="3">
        <v>237</v>
      </c>
      <c r="AC245" s="3">
        <f t="shared" si="22"/>
        <v>113.88888888888889</v>
      </c>
    </row>
    <row r="246" spans="19:29">
      <c r="S246" s="3" t="s">
        <v>333</v>
      </c>
      <c r="T246" s="3">
        <v>40</v>
      </c>
      <c r="U246" s="3">
        <v>7.8</v>
      </c>
      <c r="V246" s="3">
        <f t="shared" si="20"/>
        <v>18142.800000000003</v>
      </c>
      <c r="W246" s="3">
        <v>2</v>
      </c>
      <c r="X246" s="3">
        <v>2</v>
      </c>
      <c r="Y246" s="3">
        <v>4</v>
      </c>
      <c r="AA246" s="3" t="str">
        <f t="shared" si="21"/>
        <v/>
      </c>
      <c r="AC246" s="3" t="str">
        <f t="shared" si="22"/>
        <v/>
      </c>
    </row>
    <row r="247" spans="19:29">
      <c r="S247" s="3" t="s">
        <v>334</v>
      </c>
      <c r="T247" s="3">
        <v>40</v>
      </c>
      <c r="U247" s="3">
        <v>5</v>
      </c>
      <c r="V247" s="3">
        <f t="shared" si="20"/>
        <v>11630</v>
      </c>
      <c r="W247" s="3">
        <v>1</v>
      </c>
      <c r="X247" s="3">
        <v>3</v>
      </c>
      <c r="Y247" s="3">
        <v>4</v>
      </c>
      <c r="Z247" s="3">
        <v>95</v>
      </c>
      <c r="AA247" s="3">
        <f t="shared" si="21"/>
        <v>35</v>
      </c>
      <c r="AB247" s="3">
        <v>213</v>
      </c>
      <c r="AC247" s="3">
        <f t="shared" si="22"/>
        <v>100.55555555555556</v>
      </c>
    </row>
    <row r="248" spans="19:29">
      <c r="S248" s="3" t="s">
        <v>335</v>
      </c>
      <c r="T248" s="3">
        <v>24</v>
      </c>
      <c r="U248" s="3">
        <v>9.6999999999999993</v>
      </c>
      <c r="V248" s="3">
        <f t="shared" si="20"/>
        <v>22562.2</v>
      </c>
      <c r="W248" s="3">
        <v>1</v>
      </c>
      <c r="X248" s="3">
        <v>3</v>
      </c>
      <c r="Y248" s="3">
        <v>2</v>
      </c>
      <c r="Z248" s="3">
        <v>75</v>
      </c>
      <c r="AA248" s="3">
        <f t="shared" si="21"/>
        <v>23.888888888888889</v>
      </c>
      <c r="AB248" s="3">
        <v>249</v>
      </c>
      <c r="AC248" s="3">
        <f t="shared" si="22"/>
        <v>120.55555555555556</v>
      </c>
    </row>
    <row r="249" spans="19:29">
      <c r="S249" s="3" t="s">
        <v>336</v>
      </c>
      <c r="T249" s="3">
        <v>14</v>
      </c>
      <c r="U249" s="3">
        <v>11.2</v>
      </c>
      <c r="V249" s="3">
        <f t="shared" si="20"/>
        <v>26051.199999999997</v>
      </c>
      <c r="W249" s="3">
        <v>3</v>
      </c>
      <c r="X249" s="3">
        <v>1</v>
      </c>
      <c r="Y249" s="3">
        <v>1</v>
      </c>
      <c r="Z249" s="3">
        <v>223</v>
      </c>
      <c r="AA249" s="3">
        <f t="shared" si="21"/>
        <v>106.11111111111111</v>
      </c>
      <c r="AB249" s="3">
        <v>460</v>
      </c>
      <c r="AC249" s="3">
        <f t="shared" si="22"/>
        <v>237.77777777777777</v>
      </c>
    </row>
    <row r="250" spans="19:29">
      <c r="S250" s="3" t="s">
        <v>337</v>
      </c>
      <c r="T250" s="3">
        <v>14</v>
      </c>
      <c r="U250" s="3">
        <v>15</v>
      </c>
      <c r="V250" s="3">
        <f t="shared" si="20"/>
        <v>34890</v>
      </c>
      <c r="W250" s="3">
        <v>2</v>
      </c>
      <c r="X250" s="3">
        <v>2</v>
      </c>
      <c r="Y250" s="3">
        <v>1</v>
      </c>
      <c r="Z250" s="3">
        <v>102</v>
      </c>
      <c r="AA250" s="3">
        <f t="shared" si="21"/>
        <v>38.888888888888886</v>
      </c>
      <c r="AB250" s="3">
        <v>300</v>
      </c>
      <c r="AC250" s="3">
        <f t="shared" si="22"/>
        <v>148.88888888888889</v>
      </c>
    </row>
    <row r="251" spans="19:29">
      <c r="S251" s="3" t="s">
        <v>338</v>
      </c>
      <c r="T251" s="3">
        <v>16</v>
      </c>
      <c r="U251" s="3">
        <v>20.5</v>
      </c>
      <c r="V251" s="3">
        <f t="shared" si="20"/>
        <v>47683</v>
      </c>
      <c r="W251" s="3">
        <v>0</v>
      </c>
      <c r="X251" s="3">
        <v>3</v>
      </c>
      <c r="Y251" s="3">
        <v>0</v>
      </c>
      <c r="Z251" s="3">
        <v>56</v>
      </c>
      <c r="AA251" s="3">
        <f t="shared" si="21"/>
        <v>13.333333333333334</v>
      </c>
      <c r="AB251" s="3">
        <v>258</v>
      </c>
      <c r="AC251" s="3">
        <f t="shared" si="22"/>
        <v>125.55555555555556</v>
      </c>
    </row>
    <row r="252" spans="19:29">
      <c r="S252" s="3" t="s">
        <v>339</v>
      </c>
      <c r="T252" s="3">
        <v>10</v>
      </c>
      <c r="U252" s="3">
        <v>16.5</v>
      </c>
      <c r="V252" s="3">
        <f t="shared" si="20"/>
        <v>38379</v>
      </c>
      <c r="W252" s="3">
        <v>2</v>
      </c>
      <c r="X252" s="3">
        <v>2</v>
      </c>
      <c r="Y252" s="3">
        <v>0</v>
      </c>
      <c r="Z252" s="3">
        <v>115</v>
      </c>
      <c r="AA252" s="3">
        <f t="shared" si="21"/>
        <v>46.111111111111114</v>
      </c>
      <c r="AB252" s="3">
        <v>318</v>
      </c>
      <c r="AC252" s="3">
        <f t="shared" si="22"/>
        <v>158.88888888888889</v>
      </c>
    </row>
    <row r="253" spans="19:29">
      <c r="S253" s="3" t="s">
        <v>340</v>
      </c>
      <c r="T253" s="3">
        <v>4</v>
      </c>
      <c r="U253" s="3">
        <v>16.8</v>
      </c>
      <c r="V253" s="3">
        <f t="shared" si="20"/>
        <v>39076.800000000003</v>
      </c>
      <c r="W253" s="3">
        <v>0</v>
      </c>
      <c r="X253" s="3">
        <v>1</v>
      </c>
      <c r="Y253" s="3">
        <v>0</v>
      </c>
      <c r="Z253" s="3">
        <v>372</v>
      </c>
      <c r="AA253" s="3">
        <f t="shared" si="21"/>
        <v>188.88888888888889</v>
      </c>
      <c r="AB253" s="3">
        <v>547</v>
      </c>
      <c r="AC253" s="3">
        <f t="shared" si="22"/>
        <v>286.11111111111109</v>
      </c>
    </row>
    <row r="254" spans="19:29">
      <c r="S254" s="3" t="s">
        <v>283</v>
      </c>
      <c r="T254" s="3">
        <v>21</v>
      </c>
      <c r="U254" s="3">
        <v>15.5</v>
      </c>
      <c r="V254" s="3">
        <f t="shared" si="20"/>
        <v>36053.000000000007</v>
      </c>
      <c r="W254" s="3">
        <v>3</v>
      </c>
      <c r="X254" s="3">
        <v>4</v>
      </c>
      <c r="Y254" s="3">
        <v>0</v>
      </c>
      <c r="Z254" s="3">
        <v>-15</v>
      </c>
      <c r="AA254" s="3">
        <f t="shared" si="21"/>
        <v>-26.111111111111111</v>
      </c>
      <c r="AB254" s="3">
        <v>93</v>
      </c>
      <c r="AC254" s="3">
        <f t="shared" si="22"/>
        <v>33.888888888888886</v>
      </c>
    </row>
    <row r="255" spans="19:29">
      <c r="S255" s="3" t="s">
        <v>341</v>
      </c>
      <c r="T255" s="3">
        <v>16</v>
      </c>
      <c r="U255" s="3">
        <v>13.7</v>
      </c>
      <c r="V255" s="3">
        <f t="shared" si="20"/>
        <v>31866.2</v>
      </c>
      <c r="W255" s="3">
        <v>2</v>
      </c>
      <c r="X255" s="3">
        <v>3</v>
      </c>
      <c r="Y255" s="3">
        <v>1</v>
      </c>
      <c r="Z255" s="3">
        <v>-4</v>
      </c>
      <c r="AA255" s="3">
        <f t="shared" si="21"/>
        <v>-20</v>
      </c>
      <c r="AB255" s="3">
        <v>178</v>
      </c>
      <c r="AC255" s="3">
        <f t="shared" si="22"/>
        <v>81.111111111111114</v>
      </c>
    </row>
    <row r="256" spans="19:29">
      <c r="S256" s="3" t="s">
        <v>342</v>
      </c>
      <c r="T256" s="3">
        <v>21</v>
      </c>
      <c r="U256" s="3">
        <v>19.399999999999999</v>
      </c>
      <c r="V256" s="3">
        <f t="shared" si="20"/>
        <v>45124.4</v>
      </c>
      <c r="W256" s="3">
        <v>1</v>
      </c>
      <c r="X256" s="3">
        <v>4</v>
      </c>
      <c r="Y256" s="3">
        <v>0</v>
      </c>
      <c r="Z256" s="3">
        <v>-40</v>
      </c>
      <c r="AA256" s="3">
        <f t="shared" si="21"/>
        <v>-40</v>
      </c>
      <c r="AB256" s="3">
        <v>97</v>
      </c>
      <c r="AC256" s="3">
        <f t="shared" si="22"/>
        <v>36.111111111111114</v>
      </c>
    </row>
    <row r="257" spans="19:29">
      <c r="S257" s="3" t="s">
        <v>343</v>
      </c>
      <c r="T257" s="3">
        <v>40</v>
      </c>
      <c r="U257" s="3">
        <v>4.8</v>
      </c>
      <c r="V257" s="3">
        <f t="shared" si="20"/>
        <v>11164.8</v>
      </c>
      <c r="W257" s="3">
        <v>3</v>
      </c>
      <c r="X257" s="3">
        <v>2</v>
      </c>
      <c r="Y257" s="3">
        <v>4</v>
      </c>
      <c r="Z257" s="3">
        <v>105</v>
      </c>
      <c r="AA257" s="3">
        <f t="shared" si="21"/>
        <v>40.555555555555557</v>
      </c>
      <c r="AB257" s="3">
        <v>221</v>
      </c>
      <c r="AC257" s="3">
        <f t="shared" si="22"/>
        <v>105</v>
      </c>
    </row>
    <row r="258" spans="19:29">
      <c r="S258" s="3" t="s">
        <v>344</v>
      </c>
      <c r="T258" s="3">
        <v>29</v>
      </c>
      <c r="V258" s="3" t="str">
        <f t="shared" ref="V258:V321" si="23">IF(U258="","",2.326*U258*1000)</f>
        <v/>
      </c>
      <c r="W258" s="3">
        <v>3</v>
      </c>
      <c r="X258" s="3">
        <v>0</v>
      </c>
      <c r="Y258" s="3">
        <v>3</v>
      </c>
      <c r="AA258" s="3" t="str">
        <f t="shared" ref="AA258:AA321" si="24">IF(Z258="","",5*(Z258-32)/9)</f>
        <v/>
      </c>
      <c r="AB258" s="3">
        <v>66</v>
      </c>
      <c r="AC258" s="3">
        <f t="shared" ref="AC258:AC321" si="25">IF(AB258="","",5*(AB258-32)/9)</f>
        <v>18.888888888888889</v>
      </c>
    </row>
    <row r="259" spans="19:29">
      <c r="S259" s="3" t="s">
        <v>345</v>
      </c>
      <c r="T259" s="3">
        <v>16</v>
      </c>
      <c r="U259" s="3">
        <v>21.3</v>
      </c>
      <c r="V259" s="3">
        <f t="shared" si="23"/>
        <v>49543.8</v>
      </c>
      <c r="W259" s="3">
        <v>1</v>
      </c>
      <c r="X259" s="3">
        <v>3</v>
      </c>
      <c r="Y259" s="3">
        <v>0</v>
      </c>
      <c r="Z259" s="3">
        <v>20</v>
      </c>
      <c r="AA259" s="3">
        <f t="shared" si="24"/>
        <v>-6.666666666666667</v>
      </c>
      <c r="AC259" s="3" t="str">
        <f t="shared" si="25"/>
        <v/>
      </c>
    </row>
    <row r="260" spans="19:29">
      <c r="S260" s="3" t="s">
        <v>346</v>
      </c>
      <c r="T260" s="3">
        <v>10</v>
      </c>
      <c r="U260" s="3">
        <v>13.4</v>
      </c>
      <c r="V260" s="3">
        <f t="shared" si="23"/>
        <v>31168.400000000001</v>
      </c>
      <c r="W260" s="3">
        <v>4</v>
      </c>
      <c r="X260" s="3">
        <v>2</v>
      </c>
      <c r="Y260" s="3">
        <v>0</v>
      </c>
      <c r="Z260" s="3">
        <v>175</v>
      </c>
      <c r="AA260" s="3">
        <f t="shared" si="24"/>
        <v>79.444444444444443</v>
      </c>
      <c r="AB260" s="3">
        <v>358</v>
      </c>
      <c r="AC260" s="3">
        <f t="shared" si="25"/>
        <v>181.11111111111111</v>
      </c>
    </row>
    <row r="261" spans="19:29">
      <c r="S261" s="3" t="s">
        <v>347</v>
      </c>
      <c r="T261" s="3">
        <v>10</v>
      </c>
      <c r="U261" s="3">
        <v>15</v>
      </c>
      <c r="V261" s="3">
        <f t="shared" si="23"/>
        <v>34890</v>
      </c>
      <c r="W261" s="3">
        <v>2</v>
      </c>
      <c r="X261" s="3">
        <v>2</v>
      </c>
      <c r="Y261" s="3">
        <v>0</v>
      </c>
      <c r="Z261" s="3">
        <v>102</v>
      </c>
      <c r="AA261" s="3">
        <f t="shared" si="24"/>
        <v>38.888888888888886</v>
      </c>
      <c r="AB261" s="3">
        <v>262</v>
      </c>
      <c r="AC261" s="3">
        <f t="shared" si="25"/>
        <v>127.77777777777777</v>
      </c>
    </row>
    <row r="262" spans="19:29">
      <c r="S262" s="3" t="s">
        <v>348</v>
      </c>
      <c r="T262" s="3">
        <v>10</v>
      </c>
      <c r="U262" s="3">
        <v>18.7</v>
      </c>
      <c r="V262" s="3">
        <f t="shared" si="23"/>
        <v>43496.200000000004</v>
      </c>
      <c r="AA262" s="3" t="str">
        <f t="shared" si="24"/>
        <v/>
      </c>
      <c r="AC262" s="3" t="str">
        <f t="shared" si="25"/>
        <v/>
      </c>
    </row>
    <row r="263" spans="19:29">
      <c r="S263" s="3" t="s">
        <v>349</v>
      </c>
      <c r="T263" s="3">
        <v>16</v>
      </c>
      <c r="U263" s="3">
        <v>17.100000000000001</v>
      </c>
      <c r="V263" s="3">
        <f t="shared" si="23"/>
        <v>39774.600000000006</v>
      </c>
      <c r="AA263" s="3" t="str">
        <f t="shared" si="24"/>
        <v/>
      </c>
      <c r="AC263" s="3" t="str">
        <f t="shared" si="25"/>
        <v/>
      </c>
    </row>
    <row r="264" spans="19:29">
      <c r="S264" s="3" t="s">
        <v>350</v>
      </c>
      <c r="T264" s="3">
        <v>10</v>
      </c>
      <c r="U264" s="3">
        <v>0</v>
      </c>
      <c r="V264" s="3">
        <f t="shared" si="23"/>
        <v>0</v>
      </c>
      <c r="AA264" s="3" t="str">
        <f t="shared" si="24"/>
        <v/>
      </c>
      <c r="AC264" s="3" t="str">
        <f t="shared" si="25"/>
        <v/>
      </c>
    </row>
    <row r="265" spans="19:29">
      <c r="S265" s="3" t="s">
        <v>351</v>
      </c>
      <c r="T265" s="3">
        <v>24</v>
      </c>
      <c r="U265" s="3">
        <v>0</v>
      </c>
      <c r="V265" s="3">
        <f t="shared" si="23"/>
        <v>0</v>
      </c>
      <c r="W265" s="3">
        <v>3</v>
      </c>
      <c r="X265" s="3">
        <v>3</v>
      </c>
      <c r="Y265" s="3">
        <v>2</v>
      </c>
      <c r="AA265" s="3" t="str">
        <f t="shared" si="24"/>
        <v/>
      </c>
      <c r="AB265" s="3">
        <v>1410</v>
      </c>
      <c r="AC265" s="3">
        <f t="shared" si="25"/>
        <v>765.55555555555554</v>
      </c>
    </row>
    <row r="266" spans="19:29">
      <c r="S266" s="3" t="s">
        <v>352</v>
      </c>
      <c r="T266" s="3">
        <v>14</v>
      </c>
      <c r="V266" s="3" t="str">
        <f t="shared" si="23"/>
        <v/>
      </c>
      <c r="W266" s="3">
        <v>1</v>
      </c>
      <c r="X266" s="3">
        <v>0</v>
      </c>
      <c r="Y266" s="3">
        <v>1</v>
      </c>
      <c r="AA266" s="3" t="str">
        <f t="shared" si="24"/>
        <v/>
      </c>
      <c r="AB266" s="3">
        <v>752</v>
      </c>
      <c r="AC266" s="3">
        <f t="shared" si="25"/>
        <v>400</v>
      </c>
    </row>
    <row r="267" spans="19:29">
      <c r="S267" s="3" t="s">
        <v>353</v>
      </c>
      <c r="T267" s="3">
        <v>29</v>
      </c>
      <c r="V267" s="3" t="str">
        <f t="shared" si="23"/>
        <v/>
      </c>
      <c r="W267" s="3">
        <v>1</v>
      </c>
      <c r="X267" s="3">
        <v>0</v>
      </c>
      <c r="Y267" s="3">
        <v>3</v>
      </c>
      <c r="AA267" s="3" t="str">
        <f t="shared" si="24"/>
        <v/>
      </c>
      <c r="AB267" s="3">
        <v>752</v>
      </c>
      <c r="AC267" s="3">
        <f t="shared" si="25"/>
        <v>400</v>
      </c>
    </row>
    <row r="268" spans="19:29">
      <c r="S268" s="3" t="s">
        <v>354</v>
      </c>
      <c r="T268" s="3">
        <v>14</v>
      </c>
      <c r="U268" s="3">
        <v>0</v>
      </c>
      <c r="V268" s="3">
        <f t="shared" si="23"/>
        <v>0</v>
      </c>
      <c r="W268" s="3">
        <v>1</v>
      </c>
      <c r="X268" s="3">
        <v>0</v>
      </c>
      <c r="Y268" s="3">
        <v>1</v>
      </c>
      <c r="AA268" s="3" t="str">
        <f t="shared" si="24"/>
        <v/>
      </c>
      <c r="AC268" s="3" t="str">
        <f t="shared" si="25"/>
        <v/>
      </c>
    </row>
    <row r="269" spans="19:29">
      <c r="S269" s="3" t="s">
        <v>355</v>
      </c>
      <c r="T269" s="3">
        <v>14</v>
      </c>
      <c r="U269" s="3">
        <v>0</v>
      </c>
      <c r="V269" s="3">
        <f t="shared" si="23"/>
        <v>0</v>
      </c>
      <c r="W269" s="3">
        <v>3</v>
      </c>
      <c r="X269" s="3">
        <v>0</v>
      </c>
      <c r="Y269" s="3">
        <v>1</v>
      </c>
      <c r="AA269" s="3" t="str">
        <f t="shared" si="24"/>
        <v/>
      </c>
      <c r="AC269" s="3" t="str">
        <f t="shared" si="25"/>
        <v/>
      </c>
    </row>
    <row r="270" spans="19:29">
      <c r="S270" s="3" t="s">
        <v>356</v>
      </c>
      <c r="T270" s="3">
        <v>16</v>
      </c>
      <c r="U270" s="3">
        <v>12.5</v>
      </c>
      <c r="V270" s="3">
        <f t="shared" si="23"/>
        <v>29075</v>
      </c>
      <c r="W270" s="3">
        <v>2</v>
      </c>
      <c r="X270" s="3">
        <v>3</v>
      </c>
      <c r="Y270" s="3">
        <v>1</v>
      </c>
      <c r="Z270" s="3">
        <v>-22</v>
      </c>
      <c r="AA270" s="3">
        <f t="shared" si="24"/>
        <v>-30</v>
      </c>
      <c r="AB270" s="3">
        <v>120</v>
      </c>
      <c r="AC270" s="3">
        <f t="shared" si="25"/>
        <v>48.888888888888886</v>
      </c>
    </row>
    <row r="271" spans="19:29">
      <c r="S271" s="3" t="s">
        <v>357</v>
      </c>
      <c r="T271" s="3">
        <v>21</v>
      </c>
      <c r="U271" s="3">
        <v>19.899999999999999</v>
      </c>
      <c r="V271" s="3">
        <f t="shared" si="23"/>
        <v>46287.4</v>
      </c>
      <c r="W271" s="3">
        <v>1</v>
      </c>
      <c r="X271" s="3">
        <v>4</v>
      </c>
      <c r="Y271" s="3">
        <v>0</v>
      </c>
      <c r="AA271" s="3" t="str">
        <f t="shared" si="24"/>
        <v/>
      </c>
      <c r="AB271" s="3">
        <v>-44</v>
      </c>
      <c r="AC271" s="3">
        <f t="shared" si="25"/>
        <v>-42.222222222222221</v>
      </c>
    </row>
    <row r="272" spans="19:29">
      <c r="S272" s="3" t="s">
        <v>358</v>
      </c>
      <c r="T272" s="3">
        <v>16</v>
      </c>
      <c r="U272" s="3">
        <v>13.6</v>
      </c>
      <c r="V272" s="3">
        <f t="shared" si="23"/>
        <v>31633.600000000002</v>
      </c>
      <c r="W272" s="3">
        <v>2</v>
      </c>
      <c r="X272" s="3">
        <v>3</v>
      </c>
      <c r="Y272" s="3">
        <v>0</v>
      </c>
      <c r="Z272" s="3">
        <v>75</v>
      </c>
      <c r="AA272" s="3">
        <f t="shared" si="24"/>
        <v>23.888888888888889</v>
      </c>
      <c r="AB272" s="3">
        <v>276</v>
      </c>
      <c r="AC272" s="3">
        <f t="shared" si="25"/>
        <v>135.55555555555554</v>
      </c>
    </row>
    <row r="273" spans="19:29">
      <c r="S273" s="3" t="s">
        <v>359</v>
      </c>
      <c r="T273" s="3">
        <v>29</v>
      </c>
      <c r="U273" s="3">
        <v>12.6</v>
      </c>
      <c r="V273" s="3">
        <f t="shared" si="23"/>
        <v>29307.600000000002</v>
      </c>
      <c r="W273" s="3">
        <v>4</v>
      </c>
      <c r="X273" s="3">
        <v>3</v>
      </c>
      <c r="Y273" s="3">
        <v>3</v>
      </c>
      <c r="Z273" s="3">
        <v>97</v>
      </c>
      <c r="AA273" s="3">
        <f t="shared" si="24"/>
        <v>36.111111111111114</v>
      </c>
      <c r="AB273" s="3">
        <v>237</v>
      </c>
      <c r="AC273" s="3">
        <f t="shared" si="25"/>
        <v>113.88888888888889</v>
      </c>
    </row>
    <row r="274" spans="19:29">
      <c r="S274" s="3" t="s">
        <v>360</v>
      </c>
      <c r="T274" s="3">
        <v>40</v>
      </c>
      <c r="U274" s="3">
        <v>13.6</v>
      </c>
      <c r="V274" s="3">
        <f t="shared" si="23"/>
        <v>31633.600000000002</v>
      </c>
      <c r="W274" s="3">
        <v>4</v>
      </c>
      <c r="X274" s="3">
        <v>3</v>
      </c>
      <c r="Y274" s="3">
        <v>4</v>
      </c>
      <c r="Z274" s="3">
        <v>50</v>
      </c>
      <c r="AA274" s="3">
        <f t="shared" si="24"/>
        <v>10</v>
      </c>
      <c r="AB274" s="3">
        <v>192</v>
      </c>
      <c r="AC274" s="3">
        <f t="shared" si="25"/>
        <v>88.888888888888886</v>
      </c>
    </row>
    <row r="275" spans="19:29">
      <c r="S275" s="3" t="s">
        <v>361</v>
      </c>
      <c r="T275" s="3">
        <v>16</v>
      </c>
      <c r="U275" s="3">
        <v>15</v>
      </c>
      <c r="V275" s="3">
        <f t="shared" si="23"/>
        <v>34890</v>
      </c>
      <c r="W275" s="3">
        <v>4</v>
      </c>
      <c r="X275" s="3">
        <v>3</v>
      </c>
      <c r="Y275" s="3">
        <v>1</v>
      </c>
      <c r="Z275" s="3">
        <v>36</v>
      </c>
      <c r="AA275" s="3">
        <f t="shared" si="24"/>
        <v>2.2222222222222223</v>
      </c>
      <c r="AB275" s="3">
        <v>207</v>
      </c>
      <c r="AC275" s="3">
        <f t="shared" si="25"/>
        <v>97.222222222222229</v>
      </c>
    </row>
    <row r="276" spans="19:29">
      <c r="S276" s="3" t="s">
        <v>362</v>
      </c>
      <c r="T276" s="3">
        <v>16</v>
      </c>
      <c r="U276" s="3">
        <v>11.2</v>
      </c>
      <c r="V276" s="3">
        <f t="shared" si="23"/>
        <v>26051.199999999997</v>
      </c>
      <c r="W276" s="3">
        <v>1</v>
      </c>
      <c r="X276" s="3">
        <v>3</v>
      </c>
      <c r="Y276" s="3">
        <v>0</v>
      </c>
      <c r="Z276" s="3">
        <v>55</v>
      </c>
      <c r="AA276" s="3">
        <f t="shared" si="24"/>
        <v>12.777777777777779</v>
      </c>
      <c r="AB276" s="3">
        <v>215</v>
      </c>
      <c r="AC276" s="3">
        <f t="shared" si="25"/>
        <v>101.66666666666667</v>
      </c>
    </row>
    <row r="277" spans="19:29">
      <c r="S277" s="3" t="s">
        <v>363</v>
      </c>
      <c r="T277" s="3">
        <v>16</v>
      </c>
      <c r="U277" s="3">
        <v>12.4</v>
      </c>
      <c r="V277" s="3">
        <f t="shared" si="23"/>
        <v>28842.400000000001</v>
      </c>
      <c r="W277" s="3">
        <v>1</v>
      </c>
      <c r="X277" s="3">
        <v>3</v>
      </c>
      <c r="Y277" s="3">
        <v>0</v>
      </c>
      <c r="Z277" s="3">
        <v>74</v>
      </c>
      <c r="AA277" s="3">
        <f t="shared" si="24"/>
        <v>23.333333333333332</v>
      </c>
      <c r="AB277" s="3">
        <v>207</v>
      </c>
      <c r="AC277" s="3">
        <f t="shared" si="25"/>
        <v>97.222222222222229</v>
      </c>
    </row>
    <row r="278" spans="19:29">
      <c r="S278" s="3" t="s">
        <v>371</v>
      </c>
      <c r="T278" s="3">
        <v>16</v>
      </c>
      <c r="U278" s="3">
        <v>15.7</v>
      </c>
      <c r="V278" s="3">
        <f t="shared" si="23"/>
        <v>36518.199999999997</v>
      </c>
      <c r="W278" s="3">
        <v>1</v>
      </c>
      <c r="X278" s="3">
        <v>3</v>
      </c>
      <c r="Y278" s="3">
        <v>0</v>
      </c>
      <c r="Z278" s="3">
        <v>70</v>
      </c>
      <c r="AA278" s="3">
        <f t="shared" si="24"/>
        <v>21.111111111111111</v>
      </c>
      <c r="AB278" s="3">
        <v>194</v>
      </c>
      <c r="AC278" s="3">
        <f t="shared" si="25"/>
        <v>90</v>
      </c>
    </row>
    <row r="279" spans="19:29">
      <c r="S279" s="3" t="s">
        <v>372</v>
      </c>
      <c r="T279" s="3">
        <v>29</v>
      </c>
      <c r="U279" s="3">
        <v>7.4</v>
      </c>
      <c r="V279" s="3">
        <f t="shared" si="23"/>
        <v>17212.400000000001</v>
      </c>
      <c r="W279" s="3">
        <v>2</v>
      </c>
      <c r="X279" s="3">
        <v>3</v>
      </c>
      <c r="Y279" s="3">
        <v>3</v>
      </c>
      <c r="Z279" s="3">
        <v>68</v>
      </c>
      <c r="AA279" s="3">
        <f t="shared" si="24"/>
        <v>20</v>
      </c>
      <c r="AB279" s="3">
        <v>230</v>
      </c>
      <c r="AC279" s="3">
        <f t="shared" si="25"/>
        <v>110</v>
      </c>
    </row>
    <row r="280" spans="19:29">
      <c r="S280" s="3" t="s">
        <v>364</v>
      </c>
      <c r="T280" s="3">
        <v>16</v>
      </c>
      <c r="U280" s="3">
        <v>15.8</v>
      </c>
      <c r="V280" s="3">
        <f t="shared" si="23"/>
        <v>36750.800000000003</v>
      </c>
      <c r="W280" s="3">
        <v>3</v>
      </c>
      <c r="X280" s="3">
        <v>3</v>
      </c>
      <c r="Y280" s="3">
        <v>0</v>
      </c>
      <c r="Z280" s="3">
        <v>-35</v>
      </c>
      <c r="AA280" s="3">
        <f t="shared" si="24"/>
        <v>-37.222222222222221</v>
      </c>
      <c r="AB280" s="3">
        <v>120</v>
      </c>
      <c r="AC280" s="3">
        <f t="shared" si="25"/>
        <v>48.888888888888886</v>
      </c>
    </row>
    <row r="281" spans="19:29">
      <c r="S281" s="3" t="s">
        <v>365</v>
      </c>
      <c r="T281" s="3">
        <v>16</v>
      </c>
      <c r="U281" s="3">
        <v>17.3</v>
      </c>
      <c r="V281" s="3">
        <f t="shared" si="23"/>
        <v>40239.800000000003</v>
      </c>
      <c r="W281" s="3">
        <v>2</v>
      </c>
      <c r="X281" s="3">
        <v>3</v>
      </c>
      <c r="Y281" s="3">
        <v>0</v>
      </c>
      <c r="Z281" s="3">
        <v>86</v>
      </c>
      <c r="AA281" s="3">
        <f t="shared" si="24"/>
        <v>30</v>
      </c>
      <c r="AB281" s="3">
        <v>319</v>
      </c>
      <c r="AC281" s="3">
        <f t="shared" si="25"/>
        <v>159.44444444444446</v>
      </c>
    </row>
    <row r="282" spans="19:29">
      <c r="S282" s="3" t="s">
        <v>366</v>
      </c>
      <c r="T282" s="3">
        <v>16</v>
      </c>
      <c r="U282" s="3">
        <v>10</v>
      </c>
      <c r="V282" s="3">
        <f t="shared" si="23"/>
        <v>23260</v>
      </c>
      <c r="W282" s="3">
        <v>2</v>
      </c>
      <c r="X282" s="3">
        <v>3</v>
      </c>
      <c r="Y282" s="3">
        <v>0</v>
      </c>
      <c r="Z282" s="3">
        <v>0</v>
      </c>
      <c r="AA282" s="3">
        <f t="shared" si="24"/>
        <v>-17.777777777777779</v>
      </c>
      <c r="AB282" s="3">
        <v>115</v>
      </c>
      <c r="AC282" s="3">
        <f t="shared" si="25"/>
        <v>46.111111111111114</v>
      </c>
    </row>
    <row r="283" spans="19:29">
      <c r="S283" s="3" t="s">
        <v>367</v>
      </c>
      <c r="T283" s="3">
        <v>21</v>
      </c>
      <c r="U283" s="3">
        <v>19.7</v>
      </c>
      <c r="V283" s="3">
        <f t="shared" si="23"/>
        <v>45822.200000000004</v>
      </c>
      <c r="W283" s="3">
        <v>1</v>
      </c>
      <c r="X283" s="3">
        <v>4</v>
      </c>
      <c r="Y283" s="3">
        <v>1</v>
      </c>
      <c r="Z283" s="3">
        <v>-162</v>
      </c>
      <c r="AA283" s="3">
        <f t="shared" si="24"/>
        <v>-107.77777777777777</v>
      </c>
      <c r="AB283" s="3">
        <v>-54</v>
      </c>
      <c r="AC283" s="3">
        <f t="shared" si="25"/>
        <v>-47.777777777777779</v>
      </c>
    </row>
    <row r="284" spans="19:29">
      <c r="S284" s="3" t="s">
        <v>368</v>
      </c>
      <c r="T284" s="3">
        <v>16</v>
      </c>
      <c r="U284" s="3">
        <v>6.3</v>
      </c>
      <c r="V284" s="3">
        <f t="shared" si="23"/>
        <v>14653.800000000001</v>
      </c>
      <c r="W284" s="3">
        <v>2</v>
      </c>
      <c r="X284" s="3">
        <v>3</v>
      </c>
      <c r="Y284" s="3">
        <v>0</v>
      </c>
      <c r="Z284" s="3">
        <v>60</v>
      </c>
      <c r="AA284" s="3">
        <f t="shared" si="24"/>
        <v>15.555555555555555</v>
      </c>
      <c r="AB284" s="3">
        <v>205</v>
      </c>
      <c r="AC284" s="3">
        <f t="shared" si="25"/>
        <v>96.111111111111114</v>
      </c>
    </row>
    <row r="285" spans="19:29">
      <c r="S285" s="3" t="s">
        <v>369</v>
      </c>
      <c r="T285" s="3">
        <v>4</v>
      </c>
      <c r="U285" s="3">
        <v>9.3000000000000007</v>
      </c>
      <c r="V285" s="3">
        <f t="shared" si="23"/>
        <v>21631.800000000003</v>
      </c>
      <c r="W285" s="3">
        <v>0</v>
      </c>
      <c r="X285" s="3">
        <v>1</v>
      </c>
      <c r="Y285" s="3">
        <v>0</v>
      </c>
      <c r="Z285" s="3">
        <v>210</v>
      </c>
      <c r="AA285" s="3">
        <f t="shared" si="24"/>
        <v>98.888888888888886</v>
      </c>
      <c r="AB285" s="3">
        <v>370</v>
      </c>
      <c r="AC285" s="3">
        <f t="shared" si="25"/>
        <v>187.77777777777777</v>
      </c>
    </row>
    <row r="286" spans="19:29">
      <c r="S286" s="3" t="s">
        <v>370</v>
      </c>
      <c r="T286" s="3">
        <v>24</v>
      </c>
      <c r="U286" s="3">
        <v>13.2</v>
      </c>
      <c r="V286" s="3">
        <f t="shared" si="23"/>
        <v>30703.200000000001</v>
      </c>
      <c r="W286" s="3">
        <v>3</v>
      </c>
      <c r="X286" s="3">
        <v>4</v>
      </c>
      <c r="Y286" s="3">
        <v>2</v>
      </c>
      <c r="Z286" s="3">
        <v>-35</v>
      </c>
      <c r="AA286" s="3">
        <f t="shared" si="24"/>
        <v>-37.222222222222221</v>
      </c>
      <c r="AB286" s="3">
        <v>94</v>
      </c>
      <c r="AC286" s="3">
        <f t="shared" si="25"/>
        <v>34.444444444444443</v>
      </c>
    </row>
    <row r="287" spans="19:29">
      <c r="S287" s="3" t="s">
        <v>373</v>
      </c>
      <c r="T287" s="3">
        <v>14</v>
      </c>
      <c r="U287" s="3">
        <v>5.9</v>
      </c>
      <c r="V287" s="3">
        <f t="shared" si="23"/>
        <v>13723.400000000001</v>
      </c>
      <c r="W287" s="3">
        <v>2</v>
      </c>
      <c r="X287" s="3">
        <v>3</v>
      </c>
      <c r="Y287" s="3">
        <v>0</v>
      </c>
      <c r="Z287" s="3">
        <v>68</v>
      </c>
      <c r="AA287" s="3">
        <f t="shared" si="24"/>
        <v>20</v>
      </c>
      <c r="AB287" s="3">
        <v>240</v>
      </c>
      <c r="AC287" s="3">
        <f t="shared" si="25"/>
        <v>115.55555555555556</v>
      </c>
    </row>
    <row r="288" spans="19:29">
      <c r="S288" s="3" t="s">
        <v>374</v>
      </c>
      <c r="T288" s="3">
        <v>24</v>
      </c>
      <c r="U288" s="3">
        <v>0</v>
      </c>
      <c r="V288" s="3">
        <f t="shared" si="23"/>
        <v>0</v>
      </c>
      <c r="W288" s="3">
        <v>3</v>
      </c>
      <c r="X288" s="3">
        <v>3</v>
      </c>
      <c r="Y288" s="3">
        <v>2</v>
      </c>
      <c r="AA288" s="3" t="str">
        <f t="shared" si="24"/>
        <v/>
      </c>
      <c r="AB288" s="3">
        <v>1619</v>
      </c>
      <c r="AC288" s="3">
        <f t="shared" si="25"/>
        <v>881.66666666666663</v>
      </c>
    </row>
    <row r="289" spans="19:29">
      <c r="S289" s="3" t="s">
        <v>375</v>
      </c>
      <c r="T289" s="3">
        <v>24</v>
      </c>
      <c r="U289" s="3">
        <v>0</v>
      </c>
      <c r="V289" s="3">
        <f t="shared" si="23"/>
        <v>0</v>
      </c>
      <c r="W289" s="3">
        <v>1</v>
      </c>
      <c r="X289" s="3">
        <v>0</v>
      </c>
      <c r="Y289" s="3">
        <v>2</v>
      </c>
      <c r="AA289" s="3" t="str">
        <f t="shared" si="24"/>
        <v/>
      </c>
      <c r="AC289" s="3" t="str">
        <f t="shared" si="25"/>
        <v/>
      </c>
    </row>
    <row r="290" spans="19:29">
      <c r="S290" s="3" t="s">
        <v>376</v>
      </c>
      <c r="T290" s="3">
        <v>14</v>
      </c>
      <c r="U290" s="3">
        <v>0</v>
      </c>
      <c r="V290" s="3">
        <f t="shared" si="23"/>
        <v>0</v>
      </c>
      <c r="W290" s="3">
        <v>1</v>
      </c>
      <c r="X290" s="3">
        <v>0</v>
      </c>
      <c r="Y290" s="3">
        <v>1</v>
      </c>
      <c r="AA290" s="3" t="str">
        <f t="shared" si="24"/>
        <v/>
      </c>
      <c r="AC290" s="3" t="str">
        <f t="shared" si="25"/>
        <v/>
      </c>
    </row>
    <row r="291" spans="19:29">
      <c r="S291" s="3" t="s">
        <v>377</v>
      </c>
      <c r="T291" s="3">
        <v>24</v>
      </c>
      <c r="U291" s="3">
        <v>0</v>
      </c>
      <c r="V291" s="3">
        <f t="shared" si="23"/>
        <v>0</v>
      </c>
      <c r="W291" s="3">
        <v>3</v>
      </c>
      <c r="X291" s="3">
        <v>3</v>
      </c>
      <c r="Y291" s="3">
        <v>2</v>
      </c>
      <c r="AA291" s="3" t="str">
        <f t="shared" si="24"/>
        <v/>
      </c>
      <c r="AC291" s="3" t="str">
        <f t="shared" si="25"/>
        <v/>
      </c>
    </row>
    <row r="292" spans="19:29">
      <c r="S292" s="3" t="s">
        <v>378</v>
      </c>
      <c r="T292" s="3">
        <v>24</v>
      </c>
      <c r="U292" s="3">
        <v>0</v>
      </c>
      <c r="V292" s="3">
        <f t="shared" si="23"/>
        <v>0</v>
      </c>
      <c r="W292" s="3">
        <v>2</v>
      </c>
      <c r="X292" s="3">
        <v>1</v>
      </c>
      <c r="Y292" s="3">
        <v>2</v>
      </c>
      <c r="AA292" s="3" t="str">
        <f t="shared" si="24"/>
        <v/>
      </c>
      <c r="AC292" s="3" t="str">
        <f t="shared" si="25"/>
        <v/>
      </c>
    </row>
    <row r="293" spans="19:29">
      <c r="S293" s="3" t="s">
        <v>379</v>
      </c>
      <c r="T293" s="3">
        <v>14</v>
      </c>
      <c r="U293" s="3">
        <v>0</v>
      </c>
      <c r="V293" s="3">
        <f t="shared" si="23"/>
        <v>0</v>
      </c>
      <c r="W293" s="3">
        <v>2</v>
      </c>
      <c r="X293" s="3">
        <v>0</v>
      </c>
      <c r="Y293" s="3">
        <v>1</v>
      </c>
      <c r="AA293" s="3" t="str">
        <f t="shared" si="24"/>
        <v/>
      </c>
      <c r="AC293" s="3" t="str">
        <f t="shared" si="25"/>
        <v/>
      </c>
    </row>
    <row r="294" spans="19:29">
      <c r="S294" s="3" t="s">
        <v>380</v>
      </c>
      <c r="T294" s="3">
        <v>14</v>
      </c>
      <c r="U294" s="3">
        <v>0</v>
      </c>
      <c r="V294" s="3">
        <f t="shared" si="23"/>
        <v>0</v>
      </c>
      <c r="W294" s="3">
        <v>3</v>
      </c>
      <c r="X294" s="3">
        <v>0</v>
      </c>
      <c r="Y294" s="3">
        <v>1</v>
      </c>
      <c r="AA294" s="3" t="str">
        <f t="shared" si="24"/>
        <v/>
      </c>
      <c r="AC294" s="3" t="str">
        <f t="shared" si="25"/>
        <v/>
      </c>
    </row>
    <row r="295" spans="19:29">
      <c r="S295" s="3" t="s">
        <v>381</v>
      </c>
      <c r="T295" s="3">
        <v>4</v>
      </c>
      <c r="U295" s="3">
        <v>15.9</v>
      </c>
      <c r="V295" s="3">
        <f t="shared" si="23"/>
        <v>36983.4</v>
      </c>
      <c r="W295" s="3">
        <v>1</v>
      </c>
      <c r="X295" s="3">
        <v>1</v>
      </c>
      <c r="Y295" s="3">
        <v>0</v>
      </c>
      <c r="Z295" s="3">
        <v>385</v>
      </c>
      <c r="AA295" s="3">
        <f t="shared" si="24"/>
        <v>196.11111111111111</v>
      </c>
      <c r="AB295" s="3">
        <v>726</v>
      </c>
      <c r="AC295" s="3">
        <f t="shared" si="25"/>
        <v>385.55555555555554</v>
      </c>
    </row>
    <row r="296" spans="19:29">
      <c r="S296" s="3" t="s">
        <v>382</v>
      </c>
      <c r="T296" s="3">
        <v>24</v>
      </c>
      <c r="U296" s="3">
        <v>17.399999999999999</v>
      </c>
      <c r="V296" s="3">
        <f t="shared" si="23"/>
        <v>40472.400000000001</v>
      </c>
      <c r="W296" s="3">
        <v>2</v>
      </c>
      <c r="X296" s="3">
        <v>3</v>
      </c>
      <c r="Y296" s="3">
        <v>2</v>
      </c>
      <c r="Z296" s="3">
        <v>88</v>
      </c>
      <c r="AA296" s="3">
        <f t="shared" si="24"/>
        <v>31.111111111111111</v>
      </c>
      <c r="AB296" s="3">
        <v>293</v>
      </c>
      <c r="AC296" s="3">
        <f t="shared" si="25"/>
        <v>145</v>
      </c>
    </row>
    <row r="297" spans="19:29">
      <c r="S297" s="3" t="s">
        <v>383</v>
      </c>
      <c r="T297" s="3">
        <v>14</v>
      </c>
      <c r="U297" s="3">
        <v>1.8</v>
      </c>
      <c r="V297" s="3">
        <f t="shared" si="23"/>
        <v>4186.8</v>
      </c>
      <c r="W297" s="3">
        <v>3</v>
      </c>
      <c r="X297" s="3">
        <v>1</v>
      </c>
      <c r="Y297" s="3">
        <v>1</v>
      </c>
      <c r="Z297" s="3">
        <v>245</v>
      </c>
      <c r="AA297" s="3">
        <f t="shared" si="24"/>
        <v>118.33333333333333</v>
      </c>
      <c r="AB297" s="3">
        <v>280</v>
      </c>
      <c r="AC297" s="3">
        <f t="shared" si="25"/>
        <v>137.77777777777777</v>
      </c>
    </row>
    <row r="298" spans="19:29">
      <c r="S298" s="3" t="s">
        <v>384</v>
      </c>
      <c r="T298" s="3">
        <v>1</v>
      </c>
      <c r="U298" s="3">
        <v>0</v>
      </c>
      <c r="V298" s="3">
        <f t="shared" si="23"/>
        <v>0</v>
      </c>
      <c r="W298" s="3">
        <v>3</v>
      </c>
      <c r="X298" s="3">
        <v>0</v>
      </c>
      <c r="Y298" s="3">
        <v>0</v>
      </c>
      <c r="AA298" s="3" t="str">
        <f t="shared" si="24"/>
        <v/>
      </c>
      <c r="AB298" s="3">
        <v>14</v>
      </c>
      <c r="AC298" s="3">
        <f t="shared" si="25"/>
        <v>-10</v>
      </c>
    </row>
    <row r="299" spans="19:29">
      <c r="S299" s="3" t="s">
        <v>385</v>
      </c>
      <c r="T299" s="3">
        <v>4</v>
      </c>
      <c r="U299" s="3">
        <v>12.3</v>
      </c>
      <c r="V299" s="3">
        <f t="shared" si="23"/>
        <v>28609.800000000003</v>
      </c>
      <c r="W299" s="3">
        <v>1</v>
      </c>
      <c r="X299" s="3">
        <v>1</v>
      </c>
      <c r="Y299" s="3">
        <v>0</v>
      </c>
      <c r="Z299" s="3">
        <v>320</v>
      </c>
      <c r="AA299" s="3">
        <f t="shared" si="24"/>
        <v>160</v>
      </c>
      <c r="AB299" s="3">
        <v>398</v>
      </c>
      <c r="AC299" s="3">
        <f t="shared" si="25"/>
        <v>203.33333333333334</v>
      </c>
    </row>
    <row r="300" spans="19:29">
      <c r="S300" s="3" t="s">
        <v>386</v>
      </c>
      <c r="T300" s="3">
        <v>10</v>
      </c>
      <c r="U300" s="3">
        <v>14.1</v>
      </c>
      <c r="V300" s="3">
        <f t="shared" si="23"/>
        <v>32796.6</v>
      </c>
      <c r="W300" s="3">
        <v>1</v>
      </c>
      <c r="X300" s="3">
        <v>2</v>
      </c>
      <c r="Y300" s="3">
        <v>0</v>
      </c>
      <c r="Z300" s="3">
        <v>108</v>
      </c>
      <c r="AA300" s="3">
        <f t="shared" si="24"/>
        <v>42.222222222222221</v>
      </c>
      <c r="AB300" s="3">
        <v>345</v>
      </c>
      <c r="AC300" s="3">
        <f t="shared" si="25"/>
        <v>173.88888888888889</v>
      </c>
    </row>
    <row r="301" spans="19:29">
      <c r="S301" s="3" t="s">
        <v>388</v>
      </c>
      <c r="T301" s="3">
        <v>16</v>
      </c>
      <c r="U301" s="3">
        <v>2.7</v>
      </c>
      <c r="V301" s="3">
        <f t="shared" si="23"/>
        <v>6280.2000000000007</v>
      </c>
      <c r="W301" s="3">
        <v>3</v>
      </c>
      <c r="X301" s="3">
        <v>3</v>
      </c>
      <c r="Y301" s="3">
        <v>1</v>
      </c>
      <c r="Z301" s="3">
        <v>79</v>
      </c>
      <c r="AA301" s="3">
        <f t="shared" si="24"/>
        <v>26.111111111111111</v>
      </c>
      <c r="AB301" s="3">
        <v>200</v>
      </c>
      <c r="AC301" s="3">
        <f t="shared" si="25"/>
        <v>93.333333333333329</v>
      </c>
    </row>
    <row r="302" spans="19:29">
      <c r="S302" s="3" t="s">
        <v>387</v>
      </c>
      <c r="T302" s="3">
        <v>16</v>
      </c>
      <c r="U302" s="3">
        <v>3.2</v>
      </c>
      <c r="V302" s="3">
        <f t="shared" si="23"/>
        <v>7443.2000000000007</v>
      </c>
      <c r="W302" s="3">
        <v>2</v>
      </c>
      <c r="X302" s="3">
        <v>3</v>
      </c>
      <c r="Y302" s="3">
        <v>0</v>
      </c>
      <c r="Z302" s="3">
        <v>83</v>
      </c>
      <c r="AA302" s="3">
        <f t="shared" si="24"/>
        <v>28.333333333333332</v>
      </c>
      <c r="AB302" s="3">
        <v>220</v>
      </c>
      <c r="AC302" s="3">
        <f t="shared" si="25"/>
        <v>104.44444444444444</v>
      </c>
    </row>
    <row r="303" spans="19:29">
      <c r="S303" s="3" t="s">
        <v>389</v>
      </c>
      <c r="T303" s="3">
        <v>16</v>
      </c>
      <c r="U303" s="3">
        <v>17.399999999999999</v>
      </c>
      <c r="V303" s="3">
        <f t="shared" si="23"/>
        <v>40472.400000000001</v>
      </c>
      <c r="W303" s="3">
        <v>2</v>
      </c>
      <c r="X303" s="3">
        <v>3</v>
      </c>
      <c r="Y303" s="3">
        <v>0</v>
      </c>
      <c r="Z303" s="3">
        <v>40</v>
      </c>
      <c r="AA303" s="3">
        <f t="shared" si="24"/>
        <v>4.4444444444444446</v>
      </c>
      <c r="AB303" s="3">
        <v>232</v>
      </c>
      <c r="AC303" s="3">
        <f t="shared" si="25"/>
        <v>111.11111111111111</v>
      </c>
    </row>
    <row r="304" spans="19:29">
      <c r="S304" s="3" t="s">
        <v>416</v>
      </c>
      <c r="T304" s="3">
        <v>24</v>
      </c>
      <c r="U304" s="3">
        <v>10.6</v>
      </c>
      <c r="V304" s="3">
        <f t="shared" si="23"/>
        <v>24655.599999999999</v>
      </c>
      <c r="W304" s="3">
        <v>3</v>
      </c>
      <c r="X304" s="3">
        <v>1</v>
      </c>
      <c r="Y304" s="3">
        <v>2</v>
      </c>
      <c r="Z304" s="3">
        <v>270</v>
      </c>
      <c r="AA304" s="3">
        <f t="shared" si="24"/>
        <v>132.22222222222223</v>
      </c>
      <c r="AB304" s="3">
        <v>484</v>
      </c>
      <c r="AC304" s="3">
        <f t="shared" si="25"/>
        <v>251.11111111111111</v>
      </c>
    </row>
    <row r="305" spans="19:29">
      <c r="S305" s="3" t="s">
        <v>390</v>
      </c>
      <c r="T305" s="3">
        <v>10</v>
      </c>
      <c r="U305" s="3">
        <v>17.8</v>
      </c>
      <c r="V305" s="3">
        <f t="shared" si="23"/>
        <v>41402.800000000003</v>
      </c>
      <c r="W305" s="3">
        <v>3</v>
      </c>
      <c r="X305" s="3">
        <v>2</v>
      </c>
      <c r="Y305" s="3">
        <v>0</v>
      </c>
      <c r="Z305" s="3">
        <v>145</v>
      </c>
      <c r="AA305" s="3">
        <f t="shared" si="24"/>
        <v>62.777777777777779</v>
      </c>
      <c r="AB305" s="3">
        <v>417</v>
      </c>
      <c r="AC305" s="3">
        <f t="shared" si="25"/>
        <v>213.88888888888889</v>
      </c>
    </row>
    <row r="306" spans="19:29">
      <c r="S306" s="3" t="s">
        <v>391</v>
      </c>
      <c r="T306" s="3">
        <v>4</v>
      </c>
      <c r="U306" s="3">
        <v>6.2</v>
      </c>
      <c r="V306" s="3">
        <f t="shared" si="23"/>
        <v>14421.2</v>
      </c>
      <c r="W306" s="3">
        <v>2</v>
      </c>
      <c r="X306" s="3">
        <v>1</v>
      </c>
      <c r="Y306" s="3">
        <v>0</v>
      </c>
      <c r="Z306" s="3">
        <v>222</v>
      </c>
      <c r="AA306" s="3">
        <f t="shared" si="24"/>
        <v>105.55555555555556</v>
      </c>
      <c r="AB306" s="3">
        <v>415</v>
      </c>
      <c r="AC306" s="3">
        <f t="shared" si="25"/>
        <v>212.77777777777777</v>
      </c>
    </row>
    <row r="307" spans="19:29">
      <c r="S307" s="3" t="s">
        <v>392</v>
      </c>
      <c r="T307" s="3">
        <v>4</v>
      </c>
      <c r="U307" s="3">
        <v>3.1</v>
      </c>
      <c r="V307" s="3">
        <f t="shared" si="23"/>
        <v>7210.6</v>
      </c>
      <c r="W307" s="3">
        <v>2</v>
      </c>
      <c r="X307" s="3">
        <v>1</v>
      </c>
      <c r="Y307" s="3">
        <v>0</v>
      </c>
      <c r="AA307" s="3" t="str">
        <f t="shared" si="24"/>
        <v/>
      </c>
      <c r="AB307" s="3">
        <v>165</v>
      </c>
      <c r="AC307" s="3">
        <f t="shared" si="25"/>
        <v>73.888888888888886</v>
      </c>
    </row>
    <row r="308" spans="19:29">
      <c r="S308" s="3" t="s">
        <v>393</v>
      </c>
      <c r="T308" s="3">
        <v>10</v>
      </c>
      <c r="U308" s="3">
        <v>2.7</v>
      </c>
      <c r="V308" s="3">
        <f t="shared" si="23"/>
        <v>6280.2000000000007</v>
      </c>
      <c r="W308" s="3">
        <v>2</v>
      </c>
      <c r="X308" s="3">
        <v>1</v>
      </c>
      <c r="Y308" s="3">
        <v>0</v>
      </c>
      <c r="AA308" s="3" t="str">
        <f t="shared" si="24"/>
        <v/>
      </c>
      <c r="AB308" s="3">
        <v>189</v>
      </c>
      <c r="AC308" s="3">
        <f t="shared" si="25"/>
        <v>87.222222222222229</v>
      </c>
    </row>
    <row r="309" spans="19:29">
      <c r="S309" s="3" t="s">
        <v>394</v>
      </c>
      <c r="T309" s="3">
        <v>10</v>
      </c>
      <c r="U309" s="3">
        <v>4.3</v>
      </c>
      <c r="V309" s="3">
        <f t="shared" si="23"/>
        <v>10001.799999999999</v>
      </c>
      <c r="W309" s="3">
        <v>3</v>
      </c>
      <c r="X309" s="3">
        <v>2</v>
      </c>
      <c r="Y309" s="3">
        <v>0</v>
      </c>
      <c r="Z309" s="3">
        <v>160</v>
      </c>
      <c r="AA309" s="3">
        <f t="shared" si="24"/>
        <v>71.111111111111114</v>
      </c>
      <c r="AB309" s="3">
        <v>313</v>
      </c>
      <c r="AC309" s="3">
        <f t="shared" si="25"/>
        <v>156.11111111111111</v>
      </c>
    </row>
    <row r="310" spans="19:29">
      <c r="S310" s="3" t="s">
        <v>395</v>
      </c>
      <c r="T310" s="3">
        <v>14</v>
      </c>
      <c r="U310" s="3">
        <v>10.1</v>
      </c>
      <c r="V310" s="3">
        <f t="shared" si="23"/>
        <v>23492.6</v>
      </c>
      <c r="W310" s="3">
        <v>2</v>
      </c>
      <c r="X310" s="3">
        <v>1</v>
      </c>
      <c r="Y310" s="3">
        <v>1</v>
      </c>
      <c r="Z310" s="3">
        <v>354</v>
      </c>
      <c r="AA310" s="3">
        <f t="shared" si="24"/>
        <v>178.88888888888889</v>
      </c>
      <c r="AB310" s="3">
        <v>650</v>
      </c>
      <c r="AC310" s="3">
        <f t="shared" si="25"/>
        <v>343.33333333333331</v>
      </c>
    </row>
    <row r="311" spans="19:29">
      <c r="S311" s="3" t="s">
        <v>396</v>
      </c>
      <c r="T311" s="3">
        <v>29</v>
      </c>
      <c r="U311" s="3">
        <v>16.899999999999999</v>
      </c>
      <c r="V311" s="3">
        <f t="shared" si="23"/>
        <v>39309.399999999994</v>
      </c>
      <c r="W311" s="3">
        <v>3</v>
      </c>
      <c r="X311" s="3">
        <v>4</v>
      </c>
      <c r="Y311" s="3">
        <v>3</v>
      </c>
      <c r="AA311" s="3" t="str">
        <f t="shared" si="24"/>
        <v/>
      </c>
      <c r="AB311" s="3">
        <v>365</v>
      </c>
      <c r="AC311" s="3">
        <f t="shared" si="25"/>
        <v>185</v>
      </c>
    </row>
    <row r="312" spans="19:29">
      <c r="S312" s="3" t="s">
        <v>397</v>
      </c>
      <c r="T312" s="3">
        <v>16</v>
      </c>
      <c r="U312" s="3">
        <v>17.8</v>
      </c>
      <c r="V312" s="3">
        <f t="shared" si="23"/>
        <v>41402.800000000003</v>
      </c>
      <c r="W312" s="3">
        <v>3</v>
      </c>
      <c r="X312" s="3">
        <v>3</v>
      </c>
      <c r="Y312" s="3">
        <v>0</v>
      </c>
      <c r="Z312" s="3">
        <v>16</v>
      </c>
      <c r="AA312" s="3">
        <f t="shared" si="24"/>
        <v>-8.8888888888888893</v>
      </c>
      <c r="AB312" s="3">
        <v>193</v>
      </c>
      <c r="AC312" s="3">
        <f t="shared" si="25"/>
        <v>89.444444444444443</v>
      </c>
    </row>
    <row r="313" spans="19:29">
      <c r="S313" s="3" t="s">
        <v>398</v>
      </c>
      <c r="T313" s="3">
        <v>4</v>
      </c>
      <c r="U313" s="3">
        <v>9.3000000000000007</v>
      </c>
      <c r="V313" s="3">
        <f t="shared" si="23"/>
        <v>21631.800000000003</v>
      </c>
      <c r="W313" s="3">
        <v>1</v>
      </c>
      <c r="X313" s="3">
        <v>1</v>
      </c>
      <c r="Y313" s="3">
        <v>0</v>
      </c>
      <c r="Z313" s="3">
        <v>350</v>
      </c>
      <c r="AA313" s="3">
        <f t="shared" si="24"/>
        <v>176.66666666666666</v>
      </c>
      <c r="AB313" s="3">
        <v>546</v>
      </c>
      <c r="AC313" s="3">
        <f t="shared" si="25"/>
        <v>285.55555555555554</v>
      </c>
    </row>
    <row r="314" spans="19:29">
      <c r="S314" s="3" t="s">
        <v>399</v>
      </c>
      <c r="T314" s="3">
        <v>29</v>
      </c>
      <c r="U314" s="3">
        <v>18.899999999999999</v>
      </c>
      <c r="V314" s="3">
        <f t="shared" si="23"/>
        <v>43961.399999999994</v>
      </c>
      <c r="W314" s="3">
        <v>3</v>
      </c>
      <c r="X314" s="3">
        <v>4</v>
      </c>
      <c r="Y314" s="3">
        <v>3</v>
      </c>
      <c r="Z314" s="3">
        <v>32</v>
      </c>
      <c r="AA314" s="3">
        <f t="shared" si="24"/>
        <v>0</v>
      </c>
      <c r="AB314" s="3">
        <v>414</v>
      </c>
      <c r="AC314" s="3">
        <f t="shared" si="25"/>
        <v>212.22222222222223</v>
      </c>
    </row>
    <row r="315" spans="19:29">
      <c r="S315" s="3" t="s">
        <v>400</v>
      </c>
      <c r="T315" s="3">
        <v>29</v>
      </c>
      <c r="U315" s="3">
        <v>16.5</v>
      </c>
      <c r="V315" s="3">
        <f t="shared" si="23"/>
        <v>38379</v>
      </c>
      <c r="X315" s="3">
        <v>3</v>
      </c>
      <c r="Y315" s="3">
        <v>3</v>
      </c>
      <c r="AA315" s="3" t="str">
        <f t="shared" si="24"/>
        <v/>
      </c>
      <c r="AC315" s="3" t="str">
        <f t="shared" si="25"/>
        <v/>
      </c>
    </row>
    <row r="316" spans="19:29">
      <c r="S316" s="3" t="s">
        <v>401</v>
      </c>
      <c r="T316" s="3">
        <v>10</v>
      </c>
      <c r="U316" s="3">
        <v>17.8</v>
      </c>
      <c r="V316" s="3">
        <f t="shared" si="23"/>
        <v>41402.800000000003</v>
      </c>
      <c r="W316" s="3">
        <v>2</v>
      </c>
      <c r="X316" s="3">
        <v>2</v>
      </c>
      <c r="Y316" s="3">
        <v>0</v>
      </c>
      <c r="Z316" s="3">
        <v>105</v>
      </c>
      <c r="AA316" s="3">
        <f t="shared" si="24"/>
        <v>40.555555555555557</v>
      </c>
      <c r="AB316" s="3">
        <v>313</v>
      </c>
      <c r="AC316" s="3">
        <f t="shared" si="25"/>
        <v>156.11111111111111</v>
      </c>
    </row>
    <row r="317" spans="19:29">
      <c r="S317" s="3" t="s">
        <v>415</v>
      </c>
      <c r="T317" s="3">
        <v>4</v>
      </c>
      <c r="U317" s="3">
        <v>18.100000000000001</v>
      </c>
      <c r="V317" s="3">
        <f t="shared" si="23"/>
        <v>42100.600000000006</v>
      </c>
      <c r="W317" s="3">
        <v>0</v>
      </c>
      <c r="X317" s="3">
        <v>1</v>
      </c>
      <c r="Y317" s="3">
        <v>0</v>
      </c>
      <c r="Z317" s="3">
        <v>207</v>
      </c>
      <c r="AA317" s="3">
        <f t="shared" si="24"/>
        <v>97.222222222222229</v>
      </c>
      <c r="AB317" s="3">
        <v>495</v>
      </c>
      <c r="AC317" s="3">
        <f t="shared" si="25"/>
        <v>257.22222222222223</v>
      </c>
    </row>
    <row r="318" spans="19:29">
      <c r="S318" s="3" t="s">
        <v>402</v>
      </c>
      <c r="T318" s="3">
        <v>24</v>
      </c>
      <c r="U318" s="3">
        <v>9.6999999999999993</v>
      </c>
      <c r="V318" s="3">
        <f t="shared" si="23"/>
        <v>22562.2</v>
      </c>
      <c r="W318" s="3">
        <v>2</v>
      </c>
      <c r="X318" s="3">
        <v>3</v>
      </c>
      <c r="Y318" s="3">
        <v>2</v>
      </c>
      <c r="Z318" s="3">
        <v>18</v>
      </c>
      <c r="AA318" s="3">
        <f t="shared" si="24"/>
        <v>-7.7777777777777777</v>
      </c>
      <c r="AB318" s="3">
        <v>163</v>
      </c>
      <c r="AC318" s="3">
        <f t="shared" si="25"/>
        <v>72.777777777777771</v>
      </c>
    </row>
    <row r="319" spans="19:29">
      <c r="S319" s="3" t="s">
        <v>403</v>
      </c>
      <c r="T319" s="3">
        <v>29</v>
      </c>
      <c r="U319" s="3">
        <v>19.5</v>
      </c>
      <c r="V319" s="3">
        <f t="shared" si="23"/>
        <v>45357</v>
      </c>
      <c r="W319" s="3">
        <v>2</v>
      </c>
      <c r="X319" s="3">
        <v>4</v>
      </c>
      <c r="Y319" s="3">
        <v>3</v>
      </c>
      <c r="AA319" s="3" t="str">
        <f t="shared" si="24"/>
        <v/>
      </c>
      <c r="AB319" s="3">
        <v>41</v>
      </c>
      <c r="AC319" s="3">
        <f t="shared" si="25"/>
        <v>5</v>
      </c>
    </row>
    <row r="320" spans="19:29">
      <c r="S320" s="3" t="s">
        <v>404</v>
      </c>
      <c r="T320" s="3">
        <v>24</v>
      </c>
      <c r="U320" s="3">
        <v>15.5</v>
      </c>
      <c r="V320" s="3">
        <f t="shared" si="23"/>
        <v>36053.000000000007</v>
      </c>
      <c r="W320" s="3">
        <v>2</v>
      </c>
      <c r="X320" s="3">
        <v>3</v>
      </c>
      <c r="Y320" s="3">
        <v>2</v>
      </c>
      <c r="Z320" s="3">
        <v>68</v>
      </c>
      <c r="AA320" s="3">
        <f t="shared" si="24"/>
        <v>20</v>
      </c>
      <c r="AB320" s="3">
        <v>153</v>
      </c>
      <c r="AC320" s="3">
        <f t="shared" si="25"/>
        <v>67.222222222222229</v>
      </c>
    </row>
    <row r="321" spans="19:29">
      <c r="S321" s="3" t="s">
        <v>405</v>
      </c>
      <c r="T321" s="3">
        <v>24</v>
      </c>
      <c r="U321" s="3">
        <v>15.4</v>
      </c>
      <c r="V321" s="3">
        <f t="shared" si="23"/>
        <v>35820.400000000001</v>
      </c>
      <c r="W321" s="3">
        <v>2</v>
      </c>
      <c r="X321" s="3">
        <v>3</v>
      </c>
      <c r="Y321" s="3">
        <v>2</v>
      </c>
      <c r="Z321" s="3">
        <v>15</v>
      </c>
      <c r="AA321" s="3">
        <f t="shared" si="24"/>
        <v>-9.4444444444444446</v>
      </c>
      <c r="AB321" s="3">
        <v>202</v>
      </c>
      <c r="AC321" s="3">
        <f t="shared" si="25"/>
        <v>94.444444444444443</v>
      </c>
    </row>
    <row r="322" spans="19:29">
      <c r="S322" s="3" t="s">
        <v>406</v>
      </c>
      <c r="T322" s="3">
        <v>24</v>
      </c>
      <c r="U322" s="3">
        <v>8</v>
      </c>
      <c r="V322" s="3">
        <f t="shared" ref="V322:V329" si="26">IF(U322="","",2.326*U322*1000)</f>
        <v>18608</v>
      </c>
      <c r="W322" s="3">
        <v>2</v>
      </c>
      <c r="X322" s="3">
        <v>4</v>
      </c>
      <c r="Y322" s="3">
        <v>2</v>
      </c>
      <c r="Z322" s="3">
        <v>-108</v>
      </c>
      <c r="AA322" s="3">
        <f t="shared" ref="AA322:AA329" si="27">IF(Z322="","",5*(Z322-32)/9)</f>
        <v>-77.777777777777771</v>
      </c>
      <c r="AB322" s="3">
        <v>7</v>
      </c>
      <c r="AC322" s="3">
        <f t="shared" ref="AC322:AC329" si="28">IF(AB322="","",5*(AB322-32)/9)</f>
        <v>-13.888888888888889</v>
      </c>
    </row>
    <row r="323" spans="19:29">
      <c r="S323" s="3" t="s">
        <v>408</v>
      </c>
      <c r="T323" s="3">
        <v>24</v>
      </c>
      <c r="U323" s="3">
        <v>14</v>
      </c>
      <c r="V323" s="3">
        <f t="shared" si="26"/>
        <v>32564</v>
      </c>
      <c r="W323" s="3">
        <v>2</v>
      </c>
      <c r="X323" s="3">
        <v>4</v>
      </c>
      <c r="Y323" s="3">
        <v>2</v>
      </c>
      <c r="Z323" s="3">
        <v>-50</v>
      </c>
      <c r="AA323" s="3">
        <f t="shared" si="27"/>
        <v>-45.555555555555557</v>
      </c>
      <c r="AB323" s="3">
        <v>96</v>
      </c>
      <c r="AC323" s="3">
        <f t="shared" si="28"/>
        <v>35.555555555555557</v>
      </c>
    </row>
    <row r="324" spans="19:29">
      <c r="S324" s="3" t="s">
        <v>410</v>
      </c>
      <c r="T324" s="3">
        <v>24</v>
      </c>
      <c r="U324" s="3">
        <v>17.5</v>
      </c>
      <c r="V324" s="3">
        <f t="shared" si="26"/>
        <v>40705</v>
      </c>
      <c r="W324" s="3">
        <v>2</v>
      </c>
      <c r="X324" s="3">
        <v>2</v>
      </c>
      <c r="Y324" s="3">
        <v>2</v>
      </c>
      <c r="Z324" s="3">
        <v>125</v>
      </c>
      <c r="AA324" s="3">
        <f t="shared" si="27"/>
        <v>51.666666666666664</v>
      </c>
      <c r="AB324" s="3">
        <v>334</v>
      </c>
      <c r="AC324" s="3">
        <f t="shared" si="28"/>
        <v>167.77777777777777</v>
      </c>
    </row>
    <row r="325" spans="19:29">
      <c r="S325" s="3" t="s">
        <v>407</v>
      </c>
      <c r="T325" s="3">
        <v>24</v>
      </c>
      <c r="U325" s="3">
        <v>19</v>
      </c>
      <c r="V325" s="3">
        <f t="shared" si="26"/>
        <v>44194</v>
      </c>
      <c r="W325" s="3">
        <v>0</v>
      </c>
      <c r="X325" s="3">
        <v>3</v>
      </c>
      <c r="Y325" s="3">
        <v>2</v>
      </c>
      <c r="Z325" s="3">
        <v>61</v>
      </c>
      <c r="AA325" s="3">
        <f t="shared" si="27"/>
        <v>16.111111111111111</v>
      </c>
      <c r="AB325" s="3">
        <v>266</v>
      </c>
      <c r="AC325" s="3">
        <f t="shared" si="28"/>
        <v>130</v>
      </c>
    </row>
    <row r="326" spans="19:29">
      <c r="S326" s="3" t="s">
        <v>409</v>
      </c>
      <c r="T326" s="3">
        <v>24</v>
      </c>
      <c r="U326" s="3">
        <v>4.2</v>
      </c>
      <c r="V326" s="3">
        <f t="shared" si="26"/>
        <v>9769.2000000000007</v>
      </c>
      <c r="W326" s="3">
        <v>2</v>
      </c>
      <c r="X326" s="3">
        <v>4</v>
      </c>
      <c r="Y326" s="3">
        <v>2</v>
      </c>
      <c r="Z326" s="3">
        <v>0</v>
      </c>
      <c r="AA326" s="3">
        <f t="shared" si="27"/>
        <v>-17.777777777777779</v>
      </c>
      <c r="AB326" s="3">
        <v>89</v>
      </c>
      <c r="AC326" s="3">
        <f t="shared" si="28"/>
        <v>31.666666666666668</v>
      </c>
    </row>
    <row r="327" spans="19:29">
      <c r="S327" s="3" t="s">
        <v>411</v>
      </c>
      <c r="T327" s="3">
        <v>16</v>
      </c>
      <c r="U327" s="3">
        <v>17.600000000000001</v>
      </c>
      <c r="V327" s="3">
        <f t="shared" si="26"/>
        <v>40937.600000000006</v>
      </c>
      <c r="W327" s="3">
        <v>2</v>
      </c>
      <c r="X327" s="3">
        <v>3</v>
      </c>
      <c r="Y327" s="3">
        <v>0</v>
      </c>
      <c r="Z327" s="3">
        <v>77</v>
      </c>
      <c r="AA327" s="3">
        <f t="shared" si="27"/>
        <v>25</v>
      </c>
      <c r="AB327" s="3">
        <v>279</v>
      </c>
      <c r="AC327" s="3">
        <f t="shared" si="28"/>
        <v>137.22222222222223</v>
      </c>
    </row>
    <row r="328" spans="19:29">
      <c r="S328" s="3" t="s">
        <v>412</v>
      </c>
      <c r="T328" s="3">
        <v>14</v>
      </c>
      <c r="V328" s="3" t="str">
        <f t="shared" si="26"/>
        <v/>
      </c>
      <c r="W328" s="3">
        <v>1</v>
      </c>
      <c r="X328" s="3">
        <v>0</v>
      </c>
      <c r="Y328" s="3">
        <v>1</v>
      </c>
      <c r="AA328" s="3" t="str">
        <f t="shared" si="27"/>
        <v/>
      </c>
      <c r="AC328" s="3" t="str">
        <f t="shared" si="28"/>
        <v/>
      </c>
    </row>
    <row r="329" spans="19:29">
      <c r="S329" s="3" t="s">
        <v>413</v>
      </c>
      <c r="T329" s="3">
        <v>4</v>
      </c>
      <c r="U329" s="3">
        <v>10.1</v>
      </c>
      <c r="V329" s="3">
        <f t="shared" si="26"/>
        <v>23492.6</v>
      </c>
      <c r="W329" s="3">
        <v>0</v>
      </c>
      <c r="X329" s="3">
        <v>1</v>
      </c>
      <c r="Y329" s="3">
        <v>0</v>
      </c>
      <c r="Z329" s="3">
        <v>530</v>
      </c>
      <c r="AA329" s="3">
        <f t="shared" si="27"/>
        <v>276.66666666666669</v>
      </c>
      <c r="AC329" s="3" t="str">
        <f t="shared" si="28"/>
        <v/>
      </c>
    </row>
  </sheetData>
  <sortState ref="B108:B110">
    <sortCondition ref="B108"/>
  </sortState>
  <mergeCells count="136">
    <mergeCell ref="J25:L29"/>
    <mergeCell ref="A47:D47"/>
    <mergeCell ref="A48:D48"/>
    <mergeCell ref="E47:F48"/>
    <mergeCell ref="G47:H48"/>
    <mergeCell ref="A49:C50"/>
    <mergeCell ref="D49:E50"/>
    <mergeCell ref="F49:G50"/>
    <mergeCell ref="H49:H50"/>
    <mergeCell ref="A44:D44"/>
    <mergeCell ref="E44:F44"/>
    <mergeCell ref="G44:H44"/>
    <mergeCell ref="A45:F45"/>
    <mergeCell ref="G45:H45"/>
    <mergeCell ref="A46:F46"/>
    <mergeCell ref="G46:H46"/>
    <mergeCell ref="A42:D42"/>
    <mergeCell ref="A43:D43"/>
    <mergeCell ref="E43:F43"/>
    <mergeCell ref="E42:F42"/>
    <mergeCell ref="G42:H42"/>
    <mergeCell ref="G43:H43"/>
    <mergeCell ref="G38:H38"/>
    <mergeCell ref="G39:H39"/>
    <mergeCell ref="A40:D40"/>
    <mergeCell ref="E40:F40"/>
    <mergeCell ref="G40:H40"/>
    <mergeCell ref="A41:D41"/>
    <mergeCell ref="E41:F41"/>
    <mergeCell ref="G41:H41"/>
    <mergeCell ref="A35:B36"/>
    <mergeCell ref="E35:F36"/>
    <mergeCell ref="G35:H36"/>
    <mergeCell ref="A37:D37"/>
    <mergeCell ref="A38:D38"/>
    <mergeCell ref="A39:D39"/>
    <mergeCell ref="E37:F37"/>
    <mergeCell ref="E38:F38"/>
    <mergeCell ref="E39:F39"/>
    <mergeCell ref="G37:H37"/>
    <mergeCell ref="A32:B32"/>
    <mergeCell ref="A31:D31"/>
    <mergeCell ref="A33:B33"/>
    <mergeCell ref="E31:F33"/>
    <mergeCell ref="G31:H33"/>
    <mergeCell ref="A34:D34"/>
    <mergeCell ref="E34:F34"/>
    <mergeCell ref="G34:H34"/>
    <mergeCell ref="G27:H27"/>
    <mergeCell ref="G28:H28"/>
    <mergeCell ref="G29:H29"/>
    <mergeCell ref="A30:D30"/>
    <mergeCell ref="E30:F30"/>
    <mergeCell ref="G30:H30"/>
    <mergeCell ref="A27:D27"/>
    <mergeCell ref="A28:D28"/>
    <mergeCell ref="A29:D29"/>
    <mergeCell ref="E27:F27"/>
    <mergeCell ref="E28:F28"/>
    <mergeCell ref="E29:F29"/>
    <mergeCell ref="E25:F26"/>
    <mergeCell ref="G25:H26"/>
    <mergeCell ref="E23:F23"/>
    <mergeCell ref="E24:F24"/>
    <mergeCell ref="G23:H23"/>
    <mergeCell ref="G24:H24"/>
    <mergeCell ref="A23:D23"/>
    <mergeCell ref="A24:D24"/>
    <mergeCell ref="A25:D25"/>
    <mergeCell ref="A26:D26"/>
    <mergeCell ref="G13:H13"/>
    <mergeCell ref="G14:H14"/>
    <mergeCell ref="G15:H15"/>
    <mergeCell ref="G16:H16"/>
    <mergeCell ref="G19:H20"/>
    <mergeCell ref="A21:D21"/>
    <mergeCell ref="E21:F21"/>
    <mergeCell ref="G21:H21"/>
    <mergeCell ref="A22:D22"/>
    <mergeCell ref="E22:F22"/>
    <mergeCell ref="G22:H22"/>
    <mergeCell ref="G17:H18"/>
    <mergeCell ref="E17:F18"/>
    <mergeCell ref="A17:C18"/>
    <mergeCell ref="A19:F20"/>
    <mergeCell ref="C2:D2"/>
    <mergeCell ref="F2:G2"/>
    <mergeCell ref="B3:C3"/>
    <mergeCell ref="E3:F3"/>
    <mergeCell ref="A4:C4"/>
    <mergeCell ref="D4:E4"/>
    <mergeCell ref="F4:H4"/>
    <mergeCell ref="A11:D11"/>
    <mergeCell ref="E11:F11"/>
    <mergeCell ref="G11:H11"/>
    <mergeCell ref="A8:C8"/>
    <mergeCell ref="D7:H7"/>
    <mergeCell ref="D8:H8"/>
    <mergeCell ref="A9:E9"/>
    <mergeCell ref="F9:H9"/>
    <mergeCell ref="A10:D10"/>
    <mergeCell ref="E10:F10"/>
    <mergeCell ref="G10:H10"/>
    <mergeCell ref="J12:L12"/>
    <mergeCell ref="J13:L13"/>
    <mergeCell ref="J14:L14"/>
    <mergeCell ref="J15:L15"/>
    <mergeCell ref="J16:K16"/>
    <mergeCell ref="J17:L18"/>
    <mergeCell ref="J24:L24"/>
    <mergeCell ref="A5:C5"/>
    <mergeCell ref="D5:E5"/>
    <mergeCell ref="F5:H5"/>
    <mergeCell ref="A6:C6"/>
    <mergeCell ref="D6:H6"/>
    <mergeCell ref="A7:C7"/>
    <mergeCell ref="A12:D12"/>
    <mergeCell ref="A13:D13"/>
    <mergeCell ref="A14:D14"/>
    <mergeCell ref="E12:F12"/>
    <mergeCell ref="E16:F16"/>
    <mergeCell ref="E15:F15"/>
    <mergeCell ref="E14:F14"/>
    <mergeCell ref="E13:F13"/>
    <mergeCell ref="A15:D15"/>
    <mergeCell ref="A16:D16"/>
    <mergeCell ref="G12:H12"/>
    <mergeCell ref="L43:M43"/>
    <mergeCell ref="J47:L48"/>
    <mergeCell ref="J30:L30"/>
    <mergeCell ref="J31:L33"/>
    <mergeCell ref="J34:L34"/>
    <mergeCell ref="J35:L36"/>
    <mergeCell ref="K40:L40"/>
    <mergeCell ref="L42:M42"/>
    <mergeCell ref="J41:M41"/>
  </mergeCells>
  <dataValidations count="18">
    <dataValidation type="list" allowBlank="1" showInputMessage="1" showErrorMessage="1" sqref="A8:C8">
      <formula1>$O$2:$O$5</formula1>
    </dataValidation>
    <dataValidation type="list" allowBlank="1" showInputMessage="1" showErrorMessage="1" sqref="A26:D26">
      <formula1>$O$7:$O$8</formula1>
    </dataValidation>
    <dataValidation type="list" allowBlank="1" showInputMessage="1" showErrorMessage="1" sqref="J12:L12">
      <formula1>$B$54:$B$68</formula1>
    </dataValidation>
    <dataValidation type="list" allowBlank="1" showInputMessage="1" showErrorMessage="1" sqref="J13:L13">
      <formula1>$F$54:$F$59</formula1>
    </dataValidation>
    <dataValidation type="list" allowBlank="1" showInputMessage="1" showErrorMessage="1" sqref="J14:L14">
      <formula1>$F$62:$F$67</formula1>
    </dataValidation>
    <dataValidation type="list" allowBlank="1" showInputMessage="1" showErrorMessage="1" sqref="J15:L15">
      <formula1>$B$71:$B$73</formula1>
    </dataValidation>
    <dataValidation type="list" allowBlank="1" showInputMessage="1" showErrorMessage="1" sqref="L16">
      <formula1>$E$70:$E$71</formula1>
    </dataValidation>
    <dataValidation type="list" allowBlank="1" showInputMessage="1" showErrorMessage="1" sqref="J17">
      <formula1>$B$76:$B$79</formula1>
    </dataValidation>
    <dataValidation type="list" allowBlank="1" showInputMessage="1" showErrorMessage="1" sqref="J24:L24">
      <formula1>$E$76:$E$77</formula1>
    </dataValidation>
    <dataValidation type="list" allowBlank="1" showInputMessage="1" showErrorMessage="1" sqref="J25:L29">
      <formula1>$B$81:$B$86</formula1>
    </dataValidation>
    <dataValidation type="list" allowBlank="1" showInputMessage="1" showErrorMessage="1" sqref="J30:L30">
      <formula1>B89:B93</formula1>
    </dataValidation>
    <dataValidation type="list" allowBlank="1" showInputMessage="1" showErrorMessage="1" sqref="J31:L33">
      <formula1>$E$81:$E$85</formula1>
    </dataValidation>
    <dataValidation type="list" allowBlank="1" showInputMessage="1" showErrorMessage="1" sqref="J34:L34">
      <formula1>$E$89:$E$91</formula1>
    </dataValidation>
    <dataValidation type="list" allowBlank="1" showInputMessage="1" showErrorMessage="1" sqref="J35:L36">
      <formula1>$B$95:$B$100</formula1>
    </dataValidation>
    <dataValidation type="list" allowBlank="1" showInputMessage="1" showErrorMessage="1" sqref="K40">
      <formula1>$B$102:$B$106</formula1>
    </dataValidation>
    <dataValidation type="list" allowBlank="1" showInputMessage="1" showErrorMessage="1" sqref="J41">
      <formula1>$F$94:$F$98</formula1>
    </dataValidation>
    <dataValidation type="list" allowBlank="1" showInputMessage="1" showErrorMessage="1" sqref="L42">
      <formula1>$E$102:$E$105</formula1>
    </dataValidation>
    <dataValidation type="list" allowBlank="1" showInputMessage="1" showErrorMessage="1" sqref="L43:M43">
      <formula1>$B$108:$B$110</formula1>
    </dataValidation>
  </dataValidations>
  <pageMargins left="0.7" right="0.7" top="0.46" bottom="0.55000000000000004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Check Box 11">
              <controlPr defaultSize="0" autoFill="0" autoLine="0" autoPict="0">
                <anchor moveWithCells="1">
                  <from>
                    <xdr:col>12</xdr:col>
                    <xdr:colOff>133350</xdr:colOff>
                    <xdr:row>14</xdr:row>
                    <xdr:rowOff>76200</xdr:rowOff>
                  </from>
                  <to>
                    <xdr:col>29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heck Box 13">
              <controlPr defaultSize="0" autoFill="0" autoLine="0" autoPict="0">
                <anchor moveWithCells="1">
                  <from>
                    <xdr:col>12</xdr:col>
                    <xdr:colOff>123825</xdr:colOff>
                    <xdr:row>14</xdr:row>
                    <xdr:rowOff>342900</xdr:rowOff>
                  </from>
                  <to>
                    <xdr:col>17</xdr:col>
                    <xdr:colOff>933450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Check Box 27">
              <controlPr defaultSize="0" autoFill="0" autoLine="0" autoPict="0">
                <anchor moveWithCells="1">
                  <from>
                    <xdr:col>9</xdr:col>
                    <xdr:colOff>76200</xdr:colOff>
                    <xdr:row>43</xdr:row>
                    <xdr:rowOff>0</xdr:rowOff>
                  </from>
                  <to>
                    <xdr:col>11</xdr:col>
                    <xdr:colOff>1257300</xdr:colOff>
                    <xdr:row>44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V70"/>
  <sheetViews>
    <sheetView showGridLines="0" showRowColHeaders="0" workbookViewId="0">
      <selection activeCell="C36" sqref="C36"/>
    </sheetView>
  </sheetViews>
  <sheetFormatPr defaultRowHeight="14.25"/>
  <cols>
    <col min="1" max="1" width="30.75" customWidth="1"/>
    <col min="2" max="2" width="16.875" customWidth="1"/>
    <col min="3" max="3" width="15.625" customWidth="1"/>
    <col min="4" max="4" width="0" hidden="1" customWidth="1"/>
    <col min="5" max="7" width="9" style="42"/>
    <col min="8" max="10" width="9" hidden="1" customWidth="1"/>
    <col min="18" max="22" width="0" hidden="1" customWidth="1"/>
  </cols>
  <sheetData>
    <row r="1" spans="1:21" ht="16.5">
      <c r="A1" s="169" t="s">
        <v>585</v>
      </c>
      <c r="B1" s="169"/>
      <c r="C1" s="169"/>
    </row>
    <row r="2" spans="1:21">
      <c r="T2" t="s">
        <v>608</v>
      </c>
      <c r="U2">
        <v>0.91</v>
      </c>
    </row>
    <row r="3" spans="1:21" ht="15" thickBot="1">
      <c r="A3" s="168" t="s">
        <v>582</v>
      </c>
      <c r="B3" s="168"/>
      <c r="C3" s="168"/>
      <c r="T3" t="s">
        <v>607</v>
      </c>
      <c r="U3">
        <v>0.98</v>
      </c>
    </row>
    <row r="4" spans="1:21" ht="45.75" customHeight="1" thickBot="1">
      <c r="A4" s="36" t="s">
        <v>541</v>
      </c>
      <c r="B4" s="37" t="s">
        <v>542</v>
      </c>
      <c r="C4" s="37" t="s">
        <v>543</v>
      </c>
      <c r="K4" t="s">
        <v>606</v>
      </c>
    </row>
    <row r="5" spans="1:21" ht="15.75" customHeight="1" thickBot="1">
      <c r="A5" s="38" t="s">
        <v>544</v>
      </c>
      <c r="B5" s="39">
        <v>0.98</v>
      </c>
      <c r="C5" s="41">
        <f>IF(D5=TRUE,0.98,1)</f>
        <v>0.98</v>
      </c>
      <c r="D5" t="b">
        <v>1</v>
      </c>
      <c r="H5" t="b">
        <v>1</v>
      </c>
      <c r="I5" t="s">
        <v>592</v>
      </c>
      <c r="J5">
        <v>1</v>
      </c>
      <c r="R5">
        <f>IF(H5=TRUE,0.5,0)</f>
        <v>0.5</v>
      </c>
      <c r="T5" t="s">
        <v>615</v>
      </c>
      <c r="U5">
        <v>0.96</v>
      </c>
    </row>
    <row r="6" spans="1:21" ht="16.5" customHeight="1" thickBot="1">
      <c r="A6" s="38" t="s">
        <v>545</v>
      </c>
      <c r="B6" s="39" t="s">
        <v>546</v>
      </c>
      <c r="C6" s="41">
        <f>IF(E6="",1,VLOOKUP(E6,I5:J7,2))</f>
        <v>1</v>
      </c>
      <c r="E6" s="174"/>
      <c r="F6" s="175"/>
      <c r="G6" s="176"/>
      <c r="H6" t="b">
        <v>1</v>
      </c>
      <c r="I6" t="s">
        <v>591</v>
      </c>
      <c r="J6">
        <v>0.97</v>
      </c>
      <c r="R6">
        <f t="shared" ref="R6:R9" si="0">IF(H6=TRUE,0.5,0)</f>
        <v>0.5</v>
      </c>
      <c r="T6" t="s">
        <v>613</v>
      </c>
      <c r="U6">
        <v>0.94</v>
      </c>
    </row>
    <row r="7" spans="1:21" ht="15" customHeight="1" thickBot="1">
      <c r="A7" s="38" t="s">
        <v>547</v>
      </c>
      <c r="B7" s="39" t="s">
        <v>548</v>
      </c>
      <c r="C7" s="41">
        <f>IF(E7="",1,VLOOKUP(E7,I9:J12,2))</f>
        <v>0.98</v>
      </c>
      <c r="E7" s="174" t="s">
        <v>596</v>
      </c>
      <c r="F7" s="175"/>
      <c r="G7" s="176"/>
      <c r="H7" t="b">
        <v>1</v>
      </c>
      <c r="I7" t="s">
        <v>590</v>
      </c>
      <c r="J7">
        <v>0.99</v>
      </c>
      <c r="R7">
        <f t="shared" si="0"/>
        <v>0.5</v>
      </c>
      <c r="T7" t="s">
        <v>614</v>
      </c>
      <c r="U7">
        <v>0.96</v>
      </c>
    </row>
    <row r="8" spans="1:21" ht="16.5" customHeight="1" thickBot="1">
      <c r="A8" s="38" t="s">
        <v>549</v>
      </c>
      <c r="B8" s="39" t="s">
        <v>550</v>
      </c>
      <c r="C8" s="41">
        <f>IF(E8="",1,VLOOKUP(E8,I14:J16,2))</f>
        <v>1</v>
      </c>
      <c r="E8" s="174"/>
      <c r="F8" s="175"/>
      <c r="G8" s="176"/>
      <c r="H8" t="b">
        <v>1</v>
      </c>
      <c r="R8">
        <f t="shared" si="0"/>
        <v>0.5</v>
      </c>
      <c r="T8" t="s">
        <v>612</v>
      </c>
      <c r="U8">
        <v>0.94</v>
      </c>
    </row>
    <row r="9" spans="1:21" ht="18.75" customHeight="1" thickBot="1">
      <c r="A9" s="38" t="s">
        <v>551</v>
      </c>
      <c r="B9" s="39" t="s">
        <v>552</v>
      </c>
      <c r="C9" s="41">
        <f>IF(E9="",1,VLOOKUP(E9,I18:J22,2))</f>
        <v>0.93</v>
      </c>
      <c r="E9" s="174" t="s">
        <v>662</v>
      </c>
      <c r="F9" s="175"/>
      <c r="G9" s="176"/>
      <c r="H9" t="b">
        <v>1</v>
      </c>
      <c r="I9" t="s">
        <v>596</v>
      </c>
      <c r="J9">
        <v>0.98</v>
      </c>
      <c r="R9">
        <f t="shared" si="0"/>
        <v>0.5</v>
      </c>
      <c r="T9" t="s">
        <v>611</v>
      </c>
      <c r="U9">
        <v>0.93</v>
      </c>
    </row>
    <row r="10" spans="1:21" ht="17.25" customHeight="1" thickBot="1">
      <c r="A10" s="38" t="s">
        <v>553</v>
      </c>
      <c r="B10" s="39" t="s">
        <v>554</v>
      </c>
      <c r="C10" s="41">
        <f>IF(E10="",1,VLOOKUP(E10,I24:J25,2))</f>
        <v>1</v>
      </c>
      <c r="E10" s="174"/>
      <c r="F10" s="175"/>
      <c r="G10" s="176"/>
      <c r="H10" t="b">
        <v>1</v>
      </c>
      <c r="I10" t="s">
        <v>594</v>
      </c>
      <c r="J10">
        <v>0.84</v>
      </c>
      <c r="R10">
        <f>IF(H10=TRUE,1,0)</f>
        <v>1</v>
      </c>
      <c r="T10" t="s">
        <v>609</v>
      </c>
      <c r="U10">
        <v>0.91</v>
      </c>
    </row>
    <row r="11" spans="1:21" ht="17.25" customHeight="1" thickBot="1">
      <c r="A11" s="38" t="s">
        <v>555</v>
      </c>
      <c r="B11" s="39" t="s">
        <v>556</v>
      </c>
      <c r="C11" s="41">
        <f>ROUND(1-R17/150,2)</f>
        <v>0.91</v>
      </c>
      <c r="H11" t="b">
        <v>1</v>
      </c>
      <c r="I11" t="s">
        <v>593</v>
      </c>
      <c r="J11">
        <v>0.84</v>
      </c>
      <c r="R11">
        <f>IF(H11=TRUE,1,0)</f>
        <v>1</v>
      </c>
      <c r="T11" t="s">
        <v>616</v>
      </c>
      <c r="U11">
        <v>0.98</v>
      </c>
    </row>
    <row r="12" spans="1:21" ht="17.25" customHeight="1" thickBot="1">
      <c r="A12" s="38" t="s">
        <v>557</v>
      </c>
      <c r="B12" s="39" t="s">
        <v>558</v>
      </c>
      <c r="C12" s="41">
        <f>IF(E12="",1,VLOOKUP(E12,T2:U3,2))</f>
        <v>0.98</v>
      </c>
      <c r="E12" s="174" t="s">
        <v>607</v>
      </c>
      <c r="F12" s="175"/>
      <c r="G12" s="176"/>
      <c r="H12" t="b">
        <v>1</v>
      </c>
      <c r="I12" t="s">
        <v>595</v>
      </c>
      <c r="J12">
        <v>1</v>
      </c>
      <c r="R12">
        <f>IF(H12=TRUE,1,0)</f>
        <v>1</v>
      </c>
      <c r="T12" t="s">
        <v>610</v>
      </c>
      <c r="U12">
        <v>0.93</v>
      </c>
    </row>
    <row r="13" spans="1:21" ht="27" customHeight="1" thickBot="1">
      <c r="A13" s="38" t="s">
        <v>559</v>
      </c>
      <c r="B13" s="39" t="s">
        <v>558</v>
      </c>
      <c r="C13" s="41">
        <f>IF(E13="",1,VLOOKUP(E13,T5:U13,2))</f>
        <v>0.93</v>
      </c>
      <c r="E13" s="174" t="s">
        <v>611</v>
      </c>
      <c r="F13" s="175"/>
      <c r="G13" s="176"/>
      <c r="H13" t="b">
        <v>1</v>
      </c>
      <c r="R13">
        <f>IF(H13=TRUE,1.5,0)</f>
        <v>1.5</v>
      </c>
      <c r="T13" t="s">
        <v>617</v>
      </c>
      <c r="U13">
        <v>0.98</v>
      </c>
    </row>
    <row r="14" spans="1:21" ht="15" thickBot="1">
      <c r="H14" t="b">
        <v>1</v>
      </c>
      <c r="I14" t="s">
        <v>598</v>
      </c>
      <c r="J14">
        <v>0.99</v>
      </c>
      <c r="R14">
        <f>IF(H14=TRUE,1.5,0)</f>
        <v>1.5</v>
      </c>
    </row>
    <row r="15" spans="1:21" ht="15" thickBot="1">
      <c r="A15" s="40" t="s">
        <v>586</v>
      </c>
      <c r="C15" s="43">
        <f>ROUND(C5*C6*C7*C8*C9*C10*C11*C12*C13,4)</f>
        <v>0.74080000000000001</v>
      </c>
      <c r="H15" t="b">
        <v>1</v>
      </c>
      <c r="I15" t="s">
        <v>599</v>
      </c>
      <c r="J15">
        <v>0.96</v>
      </c>
      <c r="R15">
        <f>IF(H15=TRUE,2,0)</f>
        <v>2</v>
      </c>
    </row>
    <row r="16" spans="1:21">
      <c r="H16" t="b">
        <v>1</v>
      </c>
      <c r="I16" t="s">
        <v>597</v>
      </c>
      <c r="J16">
        <v>0.98</v>
      </c>
      <c r="R16">
        <f>IF(H16=TRUE,3,0)</f>
        <v>3</v>
      </c>
      <c r="T16" t="s">
        <v>618</v>
      </c>
      <c r="U16">
        <v>0.98</v>
      </c>
    </row>
    <row r="17" spans="1:21" ht="17.25" customHeight="1" thickBot="1">
      <c r="A17" s="170" t="s">
        <v>583</v>
      </c>
      <c r="B17" s="170"/>
      <c r="C17" s="170"/>
      <c r="R17">
        <f>SUM(R5:R16)</f>
        <v>13.5</v>
      </c>
      <c r="T17" t="s">
        <v>619</v>
      </c>
      <c r="U17">
        <v>0.96</v>
      </c>
    </row>
    <row r="18" spans="1:21" ht="40.5" thickBot="1">
      <c r="A18" s="36" t="s">
        <v>541</v>
      </c>
      <c r="B18" s="37" t="s">
        <v>542</v>
      </c>
      <c r="C18" s="37" t="s">
        <v>543</v>
      </c>
      <c r="I18" t="s">
        <v>601</v>
      </c>
      <c r="J18">
        <v>0.97</v>
      </c>
    </row>
    <row r="19" spans="1:21" ht="15" thickBot="1">
      <c r="A19" s="38" t="s">
        <v>560</v>
      </c>
      <c r="B19" s="39" t="s">
        <v>561</v>
      </c>
      <c r="C19" s="41">
        <f>IF(E19="",1,VLOOKUP(E19,T16:U17,2))</f>
        <v>0.98</v>
      </c>
      <c r="E19" s="174" t="s">
        <v>618</v>
      </c>
      <c r="F19" s="175"/>
      <c r="G19" s="176"/>
      <c r="I19" t="s">
        <v>600</v>
      </c>
      <c r="J19">
        <v>0.99</v>
      </c>
      <c r="T19" t="s">
        <v>620</v>
      </c>
      <c r="U19">
        <v>0.98</v>
      </c>
    </row>
    <row r="20" spans="1:21" ht="18" customHeight="1" thickBot="1">
      <c r="A20" s="38" t="s">
        <v>562</v>
      </c>
      <c r="B20" s="39" t="s">
        <v>561</v>
      </c>
      <c r="C20" s="41">
        <f>IF(E20="",1,VLOOKUP(E20,T19:U22,2))</f>
        <v>0.98</v>
      </c>
      <c r="E20" s="177" t="s">
        <v>620</v>
      </c>
      <c r="F20" s="178"/>
      <c r="G20" s="179"/>
      <c r="I20" t="s">
        <v>602</v>
      </c>
      <c r="J20">
        <v>0.93</v>
      </c>
      <c r="T20" t="s">
        <v>621</v>
      </c>
      <c r="U20">
        <v>0.96</v>
      </c>
    </row>
    <row r="21" spans="1:21" ht="15" thickBot="1">
      <c r="A21" s="38" t="s">
        <v>563</v>
      </c>
      <c r="B21" s="39" t="s">
        <v>564</v>
      </c>
      <c r="C21" s="41">
        <f>IF(E21="",1,VLOOKUP(E21,T24:U27,2))</f>
        <v>0.97</v>
      </c>
      <c r="E21" s="171" t="s">
        <v>625</v>
      </c>
      <c r="F21" s="172"/>
      <c r="G21" s="173"/>
      <c r="H21" s="52"/>
      <c r="I21" s="52" t="s">
        <v>662</v>
      </c>
      <c r="J21" s="52">
        <v>0.93</v>
      </c>
      <c r="K21" s="53"/>
      <c r="T21" t="s">
        <v>623</v>
      </c>
      <c r="U21">
        <v>0.98</v>
      </c>
    </row>
    <row r="22" spans="1:21" ht="15" thickBot="1">
      <c r="A22" s="38" t="s">
        <v>565</v>
      </c>
      <c r="B22" s="39">
        <v>0.98</v>
      </c>
      <c r="C22" s="41">
        <f>IF(D22=TRUE,0.98,1)</f>
        <v>0.98</v>
      </c>
      <c r="D22" t="b">
        <v>1</v>
      </c>
      <c r="I22" t="s">
        <v>603</v>
      </c>
      <c r="J22">
        <v>0.93</v>
      </c>
      <c r="T22" t="s">
        <v>622</v>
      </c>
      <c r="U22">
        <v>0.96</v>
      </c>
    </row>
    <row r="23" spans="1:21" ht="15" thickBot="1"/>
    <row r="24" spans="1:21" ht="15" thickBot="1">
      <c r="A24" s="40" t="s">
        <v>587</v>
      </c>
      <c r="C24" s="44">
        <f>ROUND(C19*C20*C21*C22,4)</f>
        <v>0.91300000000000003</v>
      </c>
      <c r="I24" t="s">
        <v>605</v>
      </c>
      <c r="J24">
        <v>0.94</v>
      </c>
      <c r="T24" t="s">
        <v>624</v>
      </c>
      <c r="U24">
        <v>0.91</v>
      </c>
    </row>
    <row r="25" spans="1:21">
      <c r="I25" t="s">
        <v>604</v>
      </c>
      <c r="J25">
        <v>0.96</v>
      </c>
      <c r="T25" t="s">
        <v>625</v>
      </c>
      <c r="U25">
        <v>0.97</v>
      </c>
    </row>
    <row r="26" spans="1:21" ht="18" customHeight="1" thickBot="1">
      <c r="A26" s="170" t="s">
        <v>584</v>
      </c>
      <c r="B26" s="170"/>
      <c r="C26" s="170"/>
      <c r="T26" t="s">
        <v>482</v>
      </c>
      <c r="U26">
        <v>1</v>
      </c>
    </row>
    <row r="27" spans="1:21" ht="40.5" thickBot="1">
      <c r="A27" s="36" t="s">
        <v>541</v>
      </c>
      <c r="B27" s="37" t="s">
        <v>542</v>
      </c>
      <c r="C27" s="37" t="s">
        <v>543</v>
      </c>
      <c r="T27" t="s">
        <v>626</v>
      </c>
      <c r="U27">
        <v>0.95</v>
      </c>
    </row>
    <row r="28" spans="1:21" ht="15" thickBot="1">
      <c r="A28" s="38" t="s">
        <v>566</v>
      </c>
      <c r="B28" s="39" t="s">
        <v>567</v>
      </c>
      <c r="C28" s="41">
        <f>IF(E28="",1,VLOOKUP(E28,T29:U30,2))</f>
        <v>0.98</v>
      </c>
      <c r="E28" s="174" t="s">
        <v>627</v>
      </c>
      <c r="F28" s="175"/>
      <c r="G28" s="176"/>
    </row>
    <row r="29" spans="1:21" ht="15" thickBot="1">
      <c r="A29" s="38" t="s">
        <v>568</v>
      </c>
      <c r="B29" s="39" t="s">
        <v>569</v>
      </c>
      <c r="C29" s="41">
        <f>IF(E29="",1,VLOOKUP(E29,T32:U34,2))</f>
        <v>1</v>
      </c>
      <c r="E29" s="174"/>
      <c r="F29" s="175"/>
      <c r="G29" s="176"/>
      <c r="T29" t="s">
        <v>627</v>
      </c>
      <c r="U29">
        <v>0.98</v>
      </c>
    </row>
    <row r="30" spans="1:21" ht="15" thickBot="1">
      <c r="A30" s="38" t="s">
        <v>570</v>
      </c>
      <c r="B30" s="39" t="s">
        <v>571</v>
      </c>
      <c r="C30" s="41">
        <f>IF(E30="",1,VLOOKUP(E30,T36:U37,2))</f>
        <v>1</v>
      </c>
      <c r="E30" s="174"/>
      <c r="F30" s="175"/>
      <c r="G30" s="176"/>
      <c r="T30" t="s">
        <v>628</v>
      </c>
      <c r="U30">
        <v>0.94</v>
      </c>
    </row>
    <row r="31" spans="1:21" ht="15" thickBot="1">
      <c r="A31" s="38" t="s">
        <v>572</v>
      </c>
      <c r="B31" s="39">
        <v>0.91</v>
      </c>
      <c r="C31" s="41">
        <f>IF(D31=TRUE,0.91,1)</f>
        <v>1</v>
      </c>
      <c r="D31" t="b">
        <v>0</v>
      </c>
    </row>
    <row r="32" spans="1:21" ht="15" thickBot="1">
      <c r="A32" s="38" t="s">
        <v>573</v>
      </c>
      <c r="B32" s="39" t="s">
        <v>574</v>
      </c>
      <c r="C32" s="41">
        <f>IF(T51="",1,T51)</f>
        <v>0.81</v>
      </c>
      <c r="D32">
        <f>IF(E32="",3,VLOOKUP(E32,T39:U40,2))</f>
        <v>3</v>
      </c>
      <c r="E32" s="45"/>
      <c r="F32" s="45" t="s">
        <v>641</v>
      </c>
      <c r="G32" s="174" t="s">
        <v>637</v>
      </c>
      <c r="H32" s="175"/>
      <c r="I32" s="175"/>
      <c r="J32" s="175"/>
      <c r="K32" s="176"/>
      <c r="T32" t="s">
        <v>631</v>
      </c>
      <c r="U32">
        <v>0.95</v>
      </c>
    </row>
    <row r="33" spans="1:22" ht="15" thickBot="1">
      <c r="A33" s="38" t="s">
        <v>575</v>
      </c>
      <c r="B33" s="39" t="s">
        <v>576</v>
      </c>
      <c r="C33" s="41">
        <f>IF(E33="",1,VLOOKUP(E33,T53:U54,2))</f>
        <v>0.97</v>
      </c>
      <c r="E33" s="177" t="s">
        <v>643</v>
      </c>
      <c r="F33" s="178"/>
      <c r="G33" s="179"/>
      <c r="T33" t="s">
        <v>630</v>
      </c>
      <c r="U33">
        <v>0.97</v>
      </c>
    </row>
    <row r="34" spans="1:22" ht="15" thickBot="1">
      <c r="A34" s="38" t="s">
        <v>577</v>
      </c>
      <c r="B34" s="39" t="s">
        <v>578</v>
      </c>
      <c r="C34" s="41">
        <f>IF(E34="",1,VLOOKUP(E34,T56:U62,2))</f>
        <v>0.94</v>
      </c>
      <c r="E34" s="174" t="s">
        <v>647</v>
      </c>
      <c r="F34" s="175"/>
      <c r="G34" s="175"/>
      <c r="H34" s="175"/>
      <c r="I34" s="175"/>
      <c r="J34" s="175"/>
      <c r="K34" s="176"/>
      <c r="T34" t="s">
        <v>629</v>
      </c>
      <c r="U34">
        <v>0.98</v>
      </c>
    </row>
    <row r="35" spans="1:22" ht="15" thickBot="1">
      <c r="A35" s="38" t="s">
        <v>579</v>
      </c>
      <c r="B35" s="39" t="s">
        <v>580</v>
      </c>
      <c r="C35" s="41">
        <f>IF(E35="",1,VLOOKUP(E35,T64:U66,2))</f>
        <v>0.97</v>
      </c>
      <c r="E35" s="174" t="s">
        <v>652</v>
      </c>
      <c r="F35" s="175"/>
      <c r="G35" s="175"/>
      <c r="H35" s="175"/>
      <c r="I35" s="175"/>
      <c r="J35" s="175"/>
      <c r="K35" s="176"/>
    </row>
    <row r="36" spans="1:22" ht="15" thickBot="1">
      <c r="A36" s="38" t="s">
        <v>581</v>
      </c>
      <c r="B36" s="39" t="s">
        <v>567</v>
      </c>
      <c r="C36" s="41">
        <f>IF(E36="",1,VLOOKUP(E36,T68:U70,2))</f>
        <v>1</v>
      </c>
      <c r="E36" s="174"/>
      <c r="F36" s="175"/>
      <c r="G36" s="175"/>
      <c r="H36" s="175"/>
      <c r="I36" s="175"/>
      <c r="J36" s="175"/>
      <c r="K36" s="176"/>
      <c r="T36" t="s">
        <v>633</v>
      </c>
      <c r="U36">
        <v>0.97</v>
      </c>
    </row>
    <row r="37" spans="1:22" ht="15" thickBot="1">
      <c r="T37" t="s">
        <v>632</v>
      </c>
      <c r="U37">
        <v>0.94</v>
      </c>
    </row>
    <row r="38" spans="1:22" ht="15" thickBot="1">
      <c r="A38" s="40" t="s">
        <v>588</v>
      </c>
      <c r="C38" s="43">
        <f>ROUND(C28*C29*C30*C31*C32*C33*C34*C35*C36,4)</f>
        <v>0.70209999999999995</v>
      </c>
    </row>
    <row r="39" spans="1:22">
      <c r="T39" t="s">
        <v>634</v>
      </c>
      <c r="U39">
        <v>2</v>
      </c>
    </row>
    <row r="40" spans="1:22" ht="14.25" customHeight="1">
      <c r="A40" s="170" t="s">
        <v>589</v>
      </c>
      <c r="B40" s="170"/>
      <c r="C40" s="46">
        <f>ROUND(C15*C24*C38,4)</f>
        <v>0.47489999999999999</v>
      </c>
      <c r="T40" t="s">
        <v>635</v>
      </c>
      <c r="U40">
        <v>3</v>
      </c>
    </row>
    <row r="42" spans="1:22">
      <c r="T42" t="s">
        <v>636</v>
      </c>
      <c r="U42">
        <v>0.87</v>
      </c>
      <c r="V42">
        <v>0.87</v>
      </c>
    </row>
    <row r="43" spans="1:22">
      <c r="T43" t="s">
        <v>640</v>
      </c>
      <c r="U43">
        <v>0.81</v>
      </c>
      <c r="V43">
        <v>0.84</v>
      </c>
    </row>
    <row r="44" spans="1:22">
      <c r="T44" t="s">
        <v>641</v>
      </c>
      <c r="U44">
        <v>0.74</v>
      </c>
      <c r="V44">
        <v>0.81</v>
      </c>
    </row>
    <row r="46" spans="1:22">
      <c r="T46" t="s">
        <v>638</v>
      </c>
      <c r="U46">
        <v>1.0900000000000001</v>
      </c>
    </row>
    <row r="47" spans="1:22">
      <c r="T47" t="s">
        <v>639</v>
      </c>
      <c r="U47">
        <v>1.1200000000000001</v>
      </c>
    </row>
    <row r="48" spans="1:22">
      <c r="T48" t="s">
        <v>637</v>
      </c>
      <c r="U48">
        <v>1.06</v>
      </c>
    </row>
    <row r="50" spans="20:21">
      <c r="T50">
        <f>IF(G32="",1,VLOOKUP(G32,T46:U48,2))</f>
        <v>1.06</v>
      </c>
    </row>
    <row r="51" spans="20:21">
      <c r="T51">
        <f>IF(F32="",1,VLOOKUP(F32,T42:V44,D32))</f>
        <v>0.81</v>
      </c>
    </row>
    <row r="53" spans="20:21">
      <c r="T53" t="s">
        <v>643</v>
      </c>
      <c r="U53">
        <v>0.97</v>
      </c>
    </row>
    <row r="54" spans="20:21">
      <c r="T54" t="s">
        <v>642</v>
      </c>
      <c r="U54">
        <v>0.98</v>
      </c>
    </row>
    <row r="56" spans="20:21">
      <c r="T56" t="s">
        <v>650</v>
      </c>
      <c r="U56">
        <v>0.94</v>
      </c>
    </row>
    <row r="57" spans="20:21">
      <c r="T57" t="s">
        <v>645</v>
      </c>
      <c r="U57">
        <v>0.92</v>
      </c>
    </row>
    <row r="58" spans="20:21">
      <c r="T58" t="s">
        <v>647</v>
      </c>
      <c r="U58">
        <v>0.94</v>
      </c>
    </row>
    <row r="59" spans="20:21">
      <c r="T59" t="s">
        <v>648</v>
      </c>
      <c r="U59">
        <v>0.95</v>
      </c>
    </row>
    <row r="60" spans="20:21">
      <c r="T60" t="s">
        <v>649</v>
      </c>
      <c r="U60">
        <v>0.97</v>
      </c>
    </row>
    <row r="61" spans="20:21">
      <c r="T61" t="s">
        <v>646</v>
      </c>
      <c r="U61">
        <v>0.97</v>
      </c>
    </row>
    <row r="62" spans="20:21">
      <c r="T62" t="s">
        <v>644</v>
      </c>
      <c r="U62">
        <v>0.94</v>
      </c>
    </row>
    <row r="64" spans="20:21">
      <c r="T64" t="s">
        <v>653</v>
      </c>
      <c r="U64">
        <v>0.93</v>
      </c>
    </row>
    <row r="65" spans="20:21">
      <c r="T65" t="s">
        <v>652</v>
      </c>
      <c r="U65">
        <v>0.97</v>
      </c>
    </row>
    <row r="66" spans="20:21">
      <c r="T66" t="s">
        <v>651</v>
      </c>
      <c r="U66">
        <v>0.98</v>
      </c>
    </row>
    <row r="68" spans="20:21">
      <c r="T68" t="s">
        <v>654</v>
      </c>
      <c r="U68">
        <v>0.98</v>
      </c>
    </row>
    <row r="69" spans="20:21">
      <c r="T69" t="s">
        <v>655</v>
      </c>
      <c r="U69">
        <v>0.98</v>
      </c>
    </row>
    <row r="70" spans="20:21">
      <c r="T70" t="s">
        <v>656</v>
      </c>
      <c r="U70">
        <v>0.94</v>
      </c>
    </row>
  </sheetData>
  <sortState ref="T68:U70">
    <sortCondition ref="T68:T70"/>
  </sortState>
  <mergeCells count="23">
    <mergeCell ref="A40:B40"/>
    <mergeCell ref="E6:G6"/>
    <mergeCell ref="E7:G7"/>
    <mergeCell ref="E8:G8"/>
    <mergeCell ref="E9:G9"/>
    <mergeCell ref="E10:G10"/>
    <mergeCell ref="E28:G28"/>
    <mergeCell ref="E35:K35"/>
    <mergeCell ref="E36:K36"/>
    <mergeCell ref="E29:G29"/>
    <mergeCell ref="E30:G30"/>
    <mergeCell ref="G32:K32"/>
    <mergeCell ref="E33:G33"/>
    <mergeCell ref="E34:K34"/>
    <mergeCell ref="A3:C3"/>
    <mergeCell ref="A1:C1"/>
    <mergeCell ref="A17:C17"/>
    <mergeCell ref="A26:C26"/>
    <mergeCell ref="E21:G21"/>
    <mergeCell ref="E12:G12"/>
    <mergeCell ref="E13:G13"/>
    <mergeCell ref="E19:G19"/>
    <mergeCell ref="E20:G20"/>
  </mergeCells>
  <dataValidations count="20">
    <dataValidation type="list" allowBlank="1" showInputMessage="1" showErrorMessage="1" sqref="E6:G6">
      <formula1>$I$5:$I$7</formula1>
    </dataValidation>
    <dataValidation type="list" allowBlank="1" showInputMessage="1" showErrorMessage="1" sqref="E7:G7">
      <formula1>$I$9:$I$12</formula1>
    </dataValidation>
    <dataValidation type="list" allowBlank="1" showInputMessage="1" showErrorMessage="1" sqref="E8:G8">
      <formula1>$I$14:$I$16</formula1>
    </dataValidation>
    <dataValidation type="list" allowBlank="1" showInputMessage="1" showErrorMessage="1" sqref="E9:G9">
      <formula1>$I$18:$I$22</formula1>
    </dataValidation>
    <dataValidation type="list" allowBlank="1" showInputMessage="1" showErrorMessage="1" sqref="E10:G10">
      <formula1>$I$24:$I$25</formula1>
    </dataValidation>
    <dataValidation type="list" allowBlank="1" showInputMessage="1" showErrorMessage="1" sqref="E12:G12">
      <formula1>$T$2:$T$3</formula1>
    </dataValidation>
    <dataValidation type="list" allowBlank="1" showInputMessage="1" showErrorMessage="1" sqref="E13:G13">
      <formula1>$T$5:$T$13</formula1>
    </dataValidation>
    <dataValidation type="list" allowBlank="1" showInputMessage="1" showErrorMessage="1" sqref="E19:G19">
      <formula1>$T$16:$T$17</formula1>
    </dataValidation>
    <dataValidation type="list" allowBlank="1" showInputMessage="1" showErrorMessage="1" sqref="E20:G20">
      <formula1>$T$19:$T$22</formula1>
    </dataValidation>
    <dataValidation type="list" allowBlank="1" showInputMessage="1" showErrorMessage="1" sqref="E21">
      <formula1>$T$24:$T$27</formula1>
    </dataValidation>
    <dataValidation type="list" allowBlank="1" showInputMessage="1" showErrorMessage="1" sqref="E28:G28">
      <formula1>$T$29:$T$30</formula1>
    </dataValidation>
    <dataValidation type="list" allowBlank="1" showInputMessage="1" showErrorMessage="1" sqref="E29:G29">
      <formula1>$T$32:$T$34</formula1>
    </dataValidation>
    <dataValidation type="list" allowBlank="1" showInputMessage="1" showErrorMessage="1" sqref="E30:G30">
      <formula1>$T$36:$T$37</formula1>
    </dataValidation>
    <dataValidation type="list" allowBlank="1" showInputMessage="1" showErrorMessage="1" sqref="E32">
      <formula1>$T$39:$T$40</formula1>
    </dataValidation>
    <dataValidation type="list" allowBlank="1" showInputMessage="1" showErrorMessage="1" sqref="F32">
      <formula1>$T$42:$T$44</formula1>
    </dataValidation>
    <dataValidation type="list" allowBlank="1" showInputMessage="1" showErrorMessage="1" sqref="G32">
      <formula1>$T$46:$T$48</formula1>
    </dataValidation>
    <dataValidation type="list" allowBlank="1" showInputMessage="1" showErrorMessage="1" sqref="E33:G33">
      <formula1>$T$53:$T$54</formula1>
    </dataValidation>
    <dataValidation type="list" allowBlank="1" showInputMessage="1" showErrorMessage="1" sqref="E34:K34">
      <formula1>$T$56:$T$62</formula1>
    </dataValidation>
    <dataValidation type="list" allowBlank="1" showInputMessage="1" showErrorMessage="1" sqref="E35:K35">
      <formula1>$T$64:$T$66</formula1>
    </dataValidation>
    <dataValidation type="list" allowBlank="1" showInputMessage="1" showErrorMessage="1" sqref="E36:K36">
      <formula1>$T$68:$T$70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4" name="Check Box 9">
              <controlPr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9525</xdr:rowOff>
                  </from>
                  <to>
                    <xdr:col>6</xdr:col>
                    <xdr:colOff>295275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Check Box 15">
              <controlPr defaultSize="0" autoFill="0" autoLine="0" autoPict="0">
                <anchor moveWithCells="1">
                  <from>
                    <xdr:col>7</xdr:col>
                    <xdr:colOff>676275</xdr:colOff>
                    <xdr:row>5</xdr:row>
                    <xdr:rowOff>0</xdr:rowOff>
                  </from>
                  <to>
                    <xdr:col>13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Check Box 16">
              <controlPr defaultSize="0" autoFill="0" autoLine="0" autoPict="0">
                <anchor moveWithCells="1">
                  <from>
                    <xdr:col>7</xdr:col>
                    <xdr:colOff>676275</xdr:colOff>
                    <xdr:row>3</xdr:row>
                    <xdr:rowOff>571500</xdr:rowOff>
                  </from>
                  <to>
                    <xdr:col>13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Check Box 18">
              <controlPr defaultSize="0" autoFill="0" autoLine="0" autoPict="0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8" name="Check Box 19">
              <controlPr defaultSize="0" autoFill="0" autoLine="0" autoPict="0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13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Check Box 20">
              <controlPr defaultSize="0" autoFill="0" autoLine="0" autoPict="0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15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Check Box 21">
              <controlPr defaultSize="0" autoFill="0" autoLine="0" autoPict="0">
                <anchor moveWithCells="1">
                  <from>
                    <xdr:col>10</xdr:col>
                    <xdr:colOff>0</xdr:colOff>
                    <xdr:row>8</xdr:row>
                    <xdr:rowOff>228600</xdr:rowOff>
                  </from>
                  <to>
                    <xdr:col>14</xdr:col>
                    <xdr:colOff>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Check Box 22">
              <controlPr defaultSize="0" autoFill="0" autoLine="0" autoPict="0">
                <anchor moveWithCells="1">
                  <from>
                    <xdr:col>10</xdr:col>
                    <xdr:colOff>9525</xdr:colOff>
                    <xdr:row>10</xdr:row>
                    <xdr:rowOff>9525</xdr:rowOff>
                  </from>
                  <to>
                    <xdr:col>13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Check Box 23">
              <controlPr defaultSize="0" autoFill="0" autoLine="0" autoPict="0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Check Box 24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16</xdr:col>
                    <xdr:colOff>542925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Check Box 25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295275</xdr:rowOff>
                  </from>
                  <to>
                    <xdr:col>15</xdr:col>
                    <xdr:colOff>619125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Check Box 26">
              <controlPr defaultSize="0" autoFill="0" autoLine="0" autoPict="0">
                <anchor moveWithCells="1">
                  <from>
                    <xdr:col>7</xdr:col>
                    <xdr:colOff>676275</xdr:colOff>
                    <xdr:row>14</xdr:row>
                    <xdr:rowOff>0</xdr:rowOff>
                  </from>
                  <to>
                    <xdr:col>15</xdr:col>
                    <xdr:colOff>19050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Check Box 27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66675</xdr:rowOff>
                  </from>
                  <to>
                    <xdr:col>14</xdr:col>
                    <xdr:colOff>676275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7" name="Check Box 31">
              <controlPr defaultSize="0" autoFill="0" autoLine="0" autoPict="0">
                <anchor moveWithCells="1">
                  <from>
                    <xdr:col>3</xdr:col>
                    <xdr:colOff>676275</xdr:colOff>
                    <xdr:row>21</xdr:row>
                    <xdr:rowOff>19050</xdr:rowOff>
                  </from>
                  <to>
                    <xdr:col>10</xdr:col>
                    <xdr:colOff>590550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8" name="Check Box 34">
              <controlPr defaultSize="0" autoFill="0" autoLine="0" autoPict="0">
                <anchor moveWithCells="1">
                  <from>
                    <xdr:col>3</xdr:col>
                    <xdr:colOff>676275</xdr:colOff>
                    <xdr:row>30</xdr:row>
                    <xdr:rowOff>0</xdr:rowOff>
                  </from>
                  <to>
                    <xdr:col>15</xdr:col>
                    <xdr:colOff>342900</xdr:colOff>
                    <xdr:row>31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5</vt:i4>
      </vt:variant>
    </vt:vector>
  </HeadingPairs>
  <TitlesOfParts>
    <vt:vector size="8" baseType="lpstr">
      <vt:lpstr>METRYKA</vt:lpstr>
      <vt:lpstr>DOW_FEI</vt:lpstr>
      <vt:lpstr>Arkusz1</vt:lpstr>
      <vt:lpstr>Arkusz1!_Hlt37741469</vt:lpstr>
      <vt:lpstr>Arkusz1!_Hlt37747011</vt:lpstr>
      <vt:lpstr>Arkusz1!_Hlt37748117</vt:lpstr>
      <vt:lpstr>Arkusz1!Obszar_wydruku</vt:lpstr>
      <vt:lpstr>DOW_FEI!Obszar_wydruku</vt:lpstr>
    </vt:vector>
  </TitlesOfParts>
  <Company>Polskie Konsorcjum Chemiczne Sp. z o.o.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Skowron</dc:creator>
  <cp:lastModifiedBy>Grzegorz Skowron</cp:lastModifiedBy>
  <cp:lastPrinted>2013-04-22T05:19:16Z</cp:lastPrinted>
  <dcterms:created xsi:type="dcterms:W3CDTF">2013-04-17T10:34:51Z</dcterms:created>
  <dcterms:modified xsi:type="dcterms:W3CDTF">2015-06-26T10:01:32Z</dcterms:modified>
</cp:coreProperties>
</file>